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192.168.2.253\ortak\LAZZONI\ENTEGRE YONETIM SISTEMI\ISO 14001.2015 Çevre Yönetim Sistemi\0.3 Listeler\"/>
    </mc:Choice>
  </mc:AlternateContent>
  <bookViews>
    <workbookView xWindow="0" yWindow="0" windowWidth="23040" windowHeight="9084"/>
  </bookViews>
  <sheets>
    <sheet name="ÇEVRE BOYUTLARI" sheetId="1" r:id="rId1"/>
    <sheet name="RİSK TANIMLAMASI" sheetId="2" r:id="rId2"/>
  </sheets>
  <definedNames>
    <definedName name="_xlnm._FilterDatabase" localSheetId="0" hidden="1">'ÇEVRE BOYUTLARI'!$A$1:$X$59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87" i="1" l="1"/>
  <c r="T87" i="1"/>
  <c r="S86" i="1"/>
  <c r="T86" i="1"/>
  <c r="S85" i="1"/>
  <c r="T85" i="1"/>
  <c r="J86" i="1"/>
  <c r="K86" i="1"/>
  <c r="J87" i="1"/>
  <c r="K87" i="1"/>
  <c r="J85" i="1"/>
  <c r="K85" i="1"/>
  <c r="S84" i="1"/>
  <c r="T84" i="1"/>
  <c r="J84" i="1"/>
  <c r="K84" i="1"/>
  <c r="S81" i="1"/>
  <c r="T81" i="1"/>
  <c r="S82" i="1"/>
  <c r="T82" i="1"/>
  <c r="S83" i="1"/>
  <c r="T83" i="1"/>
  <c r="J81" i="1"/>
  <c r="K81" i="1"/>
  <c r="J82" i="1"/>
  <c r="K82" i="1"/>
  <c r="J83" i="1"/>
  <c r="K83" i="1"/>
  <c r="S50" i="1"/>
  <c r="T50" i="1"/>
  <c r="K50" i="1"/>
  <c r="J50" i="1"/>
  <c r="S49" i="1"/>
  <c r="T49" i="1" s="1"/>
  <c r="J49" i="1"/>
  <c r="K49" i="1"/>
  <c r="S75" i="1"/>
  <c r="T75" i="1"/>
  <c r="S76" i="1"/>
  <c r="T76" i="1"/>
  <c r="S77" i="1"/>
  <c r="T77" i="1"/>
  <c r="S78" i="1"/>
  <c r="T78" i="1"/>
  <c r="S79" i="1"/>
  <c r="T79" i="1"/>
  <c r="S80" i="1"/>
  <c r="T80" i="1"/>
  <c r="J75" i="1"/>
  <c r="K75" i="1" s="1"/>
  <c r="J76" i="1"/>
  <c r="K76" i="1" s="1"/>
  <c r="J77" i="1"/>
  <c r="K77" i="1" s="1"/>
  <c r="J78" i="1"/>
  <c r="K78" i="1"/>
  <c r="J79" i="1"/>
  <c r="K79" i="1"/>
  <c r="J80" i="1"/>
  <c r="K80" i="1"/>
  <c r="S74" i="1"/>
  <c r="T74" i="1" s="1"/>
  <c r="S88" i="1"/>
  <c r="T88" i="1" s="1"/>
  <c r="S89" i="1"/>
  <c r="T89" i="1"/>
  <c r="S90" i="1"/>
  <c r="T90" i="1" s="1"/>
  <c r="J74" i="1"/>
  <c r="K74" i="1" s="1"/>
  <c r="J88" i="1"/>
  <c r="K88" i="1"/>
  <c r="J89" i="1"/>
  <c r="K89" i="1"/>
  <c r="J90" i="1"/>
  <c r="K90" i="1" s="1"/>
  <c r="S67" i="1"/>
  <c r="T67" i="1" s="1"/>
  <c r="J67" i="1"/>
  <c r="K67" i="1" s="1"/>
  <c r="S43" i="1"/>
  <c r="T43" i="1" s="1"/>
  <c r="J43" i="1"/>
  <c r="K43" i="1" s="1"/>
  <c r="J46" i="1"/>
  <c r="K46" i="1" s="1"/>
  <c r="S73" i="1" l="1"/>
  <c r="T73" i="1" s="1"/>
  <c r="J73" i="1"/>
  <c r="K73" i="1" s="1"/>
  <c r="S71" i="1" l="1"/>
  <c r="T71" i="1" s="1"/>
  <c r="J71" i="1"/>
  <c r="K71" i="1" s="1"/>
  <c r="S70" i="1"/>
  <c r="T70" i="1" s="1"/>
  <c r="J70" i="1"/>
  <c r="K70" i="1" s="1"/>
  <c r="S72" i="1"/>
  <c r="T72" i="1" s="1"/>
  <c r="I72" i="1"/>
  <c r="J72" i="1" s="1"/>
  <c r="K72" i="1" s="1"/>
  <c r="S69" i="1"/>
  <c r="T69" i="1" s="1"/>
  <c r="J69" i="1"/>
  <c r="K69" i="1" s="1"/>
  <c r="S68" i="1" l="1"/>
  <c r="T68" i="1" s="1"/>
  <c r="J68" i="1"/>
  <c r="K68" i="1" s="1"/>
  <c r="S66" i="1"/>
  <c r="T66" i="1" s="1"/>
  <c r="J66" i="1"/>
  <c r="K66" i="1" s="1"/>
  <c r="S65" i="1" l="1"/>
  <c r="T65" i="1"/>
  <c r="J65" i="1"/>
  <c r="K65" i="1" s="1"/>
  <c r="S64" i="1"/>
  <c r="T64" i="1" s="1"/>
  <c r="J64" i="1"/>
  <c r="K64" i="1"/>
  <c r="S63" i="1" l="1"/>
  <c r="T63" i="1"/>
  <c r="J63" i="1"/>
  <c r="K63" i="1" s="1"/>
  <c r="S62" i="1" l="1"/>
  <c r="T62" i="1"/>
  <c r="J62" i="1"/>
  <c r="K62" i="1"/>
  <c r="S61" i="1"/>
  <c r="T61" i="1" s="1"/>
  <c r="J61" i="1"/>
  <c r="K61" i="1" s="1"/>
  <c r="S60" i="1"/>
  <c r="T60" i="1"/>
  <c r="I60" i="1"/>
  <c r="J60" i="1" s="1"/>
  <c r="K60" i="1" s="1"/>
  <c r="S42" i="1" l="1"/>
  <c r="T42" i="1" s="1"/>
  <c r="S41" i="1"/>
  <c r="T41" i="1" s="1"/>
  <c r="S40" i="1"/>
  <c r="T40" i="1" s="1"/>
  <c r="S39" i="1"/>
  <c r="T39" i="1" s="1"/>
  <c r="S38" i="1"/>
  <c r="T38" i="1" s="1"/>
  <c r="S37" i="1"/>
  <c r="T37" i="1" s="1"/>
  <c r="S36" i="1"/>
  <c r="T36" i="1" s="1"/>
  <c r="S35" i="1"/>
  <c r="T35" i="1" s="1"/>
  <c r="S34" i="1"/>
  <c r="T34" i="1" s="1"/>
  <c r="S33" i="1"/>
  <c r="T33" i="1" s="1"/>
  <c r="S32" i="1"/>
  <c r="T32" i="1" s="1"/>
  <c r="S31" i="1"/>
  <c r="T31" i="1" s="1"/>
  <c r="S23" i="1"/>
  <c r="T23" i="1" s="1"/>
  <c r="S10" i="1"/>
  <c r="T10" i="1" s="1"/>
  <c r="S11" i="1"/>
  <c r="T11" i="1"/>
  <c r="S12" i="1"/>
  <c r="T12" i="1"/>
  <c r="S13" i="1"/>
  <c r="T13" i="1"/>
  <c r="S14" i="1"/>
  <c r="T14" i="1"/>
  <c r="S15" i="1"/>
  <c r="T15" i="1"/>
  <c r="S16" i="1"/>
  <c r="T16" i="1" s="1"/>
  <c r="S17" i="1"/>
  <c r="T17" i="1"/>
  <c r="S18" i="1"/>
  <c r="T18" i="1" s="1"/>
  <c r="S19" i="1"/>
  <c r="T19" i="1"/>
  <c r="S20" i="1"/>
  <c r="T20" i="1"/>
  <c r="S22" i="1"/>
  <c r="T22" i="1" s="1"/>
  <c r="S24" i="1"/>
  <c r="T24" i="1" s="1"/>
  <c r="S26" i="1"/>
  <c r="T26" i="1" s="1"/>
  <c r="S27" i="1"/>
  <c r="T27" i="1" s="1"/>
  <c r="S28" i="1"/>
  <c r="T28" i="1" s="1"/>
  <c r="S29" i="1"/>
  <c r="T29" i="1"/>
  <c r="S30" i="1"/>
  <c r="T30" i="1"/>
  <c r="S44" i="1"/>
  <c r="T44" i="1"/>
  <c r="S45" i="1"/>
  <c r="T45" i="1"/>
  <c r="S47" i="1"/>
  <c r="T47" i="1"/>
  <c r="S51" i="1"/>
  <c r="T51" i="1" s="1"/>
  <c r="S52" i="1"/>
  <c r="T52" i="1"/>
  <c r="S53" i="1"/>
  <c r="T53" i="1" s="1"/>
  <c r="S54" i="1"/>
  <c r="T54" i="1" s="1"/>
  <c r="S55" i="1"/>
  <c r="T55" i="1"/>
  <c r="S56" i="1"/>
  <c r="T56" i="1" s="1"/>
  <c r="S57" i="1"/>
  <c r="T57" i="1" s="1"/>
  <c r="S58" i="1"/>
  <c r="T58" i="1" s="1"/>
  <c r="S59" i="1"/>
  <c r="T59" i="1" s="1"/>
  <c r="J59" i="1" l="1"/>
  <c r="K59" i="1" s="1"/>
  <c r="J58" i="1"/>
  <c r="K58" i="1" s="1"/>
  <c r="I55" i="1"/>
  <c r="J55" i="1" s="1"/>
  <c r="K55" i="1" s="1"/>
  <c r="I54" i="1"/>
  <c r="J54" i="1" s="1"/>
  <c r="K54" i="1" s="1"/>
  <c r="I53" i="1"/>
  <c r="J53" i="1" s="1"/>
  <c r="K53" i="1" s="1"/>
  <c r="J51" i="1"/>
  <c r="K51" i="1" s="1"/>
  <c r="J48" i="1"/>
  <c r="K48" i="1" s="1"/>
  <c r="J47" i="1"/>
  <c r="K47" i="1" s="1"/>
  <c r="J45" i="1"/>
  <c r="K45" i="1" s="1"/>
  <c r="J44" i="1"/>
  <c r="K44" i="1" s="1"/>
  <c r="J41" i="1"/>
  <c r="K41" i="1" s="1"/>
  <c r="J39" i="1"/>
  <c r="K39" i="1" s="1"/>
  <c r="J38" i="1"/>
  <c r="K38" i="1" s="1"/>
  <c r="J37" i="1"/>
  <c r="K37" i="1" s="1"/>
  <c r="J36" i="1"/>
  <c r="K36" i="1" s="1"/>
  <c r="J35" i="1"/>
  <c r="K35" i="1" s="1"/>
  <c r="J34" i="1"/>
  <c r="K34" i="1" s="1"/>
  <c r="J33" i="1" l="1"/>
  <c r="K33" i="1" s="1"/>
  <c r="J32" i="1"/>
  <c r="K32" i="1" s="1"/>
  <c r="J31" i="1"/>
  <c r="J30" i="1" l="1"/>
  <c r="K30" i="1" s="1"/>
  <c r="J29" i="1"/>
  <c r="K29" i="1" s="1"/>
  <c r="J27" i="1"/>
  <c r="K27" i="1" s="1"/>
  <c r="J28" i="1"/>
  <c r="K28" i="1" s="1"/>
  <c r="J26" i="1"/>
  <c r="K26" i="1" s="1"/>
  <c r="J25" i="1"/>
  <c r="K25" i="1" s="1"/>
  <c r="J21" i="1"/>
  <c r="K21" i="1" s="1"/>
  <c r="J23" i="1"/>
  <c r="K23" i="1" s="1"/>
  <c r="J19" i="1"/>
  <c r="K19" i="1" s="1"/>
  <c r="J14" i="1"/>
  <c r="K14" i="1" s="1"/>
  <c r="J13" i="1"/>
  <c r="K13" i="1" s="1"/>
  <c r="J12" i="1"/>
  <c r="K12" i="1" s="1"/>
  <c r="J11" i="1"/>
  <c r="K11" i="1" s="1"/>
  <c r="J10" i="1"/>
  <c r="K10" i="1"/>
  <c r="J9" i="1"/>
  <c r="K9" i="1" s="1"/>
  <c r="J8" i="1" l="1"/>
  <c r="K8" i="1" s="1"/>
  <c r="J15" i="1" l="1"/>
  <c r="K15" i="1" s="1"/>
  <c r="J18" i="1" l="1"/>
  <c r="K18" i="1" s="1"/>
  <c r="J24" i="1"/>
  <c r="K24" i="1" s="1"/>
  <c r="J17" i="1" l="1"/>
  <c r="K17" i="1" s="1"/>
  <c r="J20" i="1"/>
  <c r="K20" i="1" s="1"/>
  <c r="J22" i="1"/>
  <c r="K22" i="1" s="1"/>
  <c r="K31" i="1"/>
  <c r="J40" i="1"/>
  <c r="K40" i="1" s="1"/>
  <c r="J42" i="1"/>
  <c r="K42" i="1" s="1"/>
  <c r="I52" i="1"/>
  <c r="J52" i="1" s="1"/>
  <c r="K52" i="1" s="1"/>
  <c r="I56" i="1"/>
  <c r="J56" i="1" s="1"/>
  <c r="K56" i="1" s="1"/>
  <c r="I57" i="1"/>
  <c r="J57" i="1" s="1"/>
  <c r="K57" i="1" s="1"/>
  <c r="S8" i="1" l="1"/>
  <c r="T8" i="1" s="1"/>
  <c r="I16" i="1" l="1"/>
  <c r="J16" i="1" s="1"/>
  <c r="K16" i="1" s="1"/>
</calcChain>
</file>

<file path=xl/sharedStrings.xml><?xml version="1.0" encoding="utf-8"?>
<sst xmlns="http://schemas.openxmlformats.org/spreadsheetml/2006/main" count="758" uniqueCount="493">
  <si>
    <t>Oluşan çamurun geçici depolama alanına götürülürken çevresel ortam ile temas etmesi</t>
  </si>
  <si>
    <t>SIRA NO</t>
  </si>
  <si>
    <t>ÇEVRE BOYUTU</t>
  </si>
  <si>
    <t>OLASILIK</t>
  </si>
  <si>
    <t>SORUMLU</t>
  </si>
  <si>
    <t>SÜRE</t>
  </si>
  <si>
    <t>ÇEVRE BOYUT ANALİZİ</t>
  </si>
  <si>
    <t>ŞİDDET</t>
  </si>
  <si>
    <t>Boya Ünitesi</t>
  </si>
  <si>
    <t>Emisyon Noktalarında Kaçak Olup Olmadığı Düzenli Olarak kontrol Edilecektir.</t>
  </si>
  <si>
    <t>Kimysalların Bulundukları Kapların Sızdızmazlık Önlemleri Alınabilir Kaplardan Seçilmesi Ve Dökülme Yaşanması İhtimalini Sıfıra İndirmek</t>
  </si>
  <si>
    <t>Bakım Onarım</t>
  </si>
  <si>
    <t>Geçici Atık Depolama Alanı Sorumlusu</t>
  </si>
  <si>
    <t>Üst Yönetim Ve Satın Alma</t>
  </si>
  <si>
    <t>Üst Yönetim Ve Çevre Görevlisi</t>
  </si>
  <si>
    <t>Tespit Edildikten Sonra 2 Gün İçerisinde</t>
  </si>
  <si>
    <t>Tespit Edildiği Anda</t>
  </si>
  <si>
    <t>Revir</t>
  </si>
  <si>
    <t>Revirde sadece muayene hizmeti verildiğinden dolayı, revirde tıbbi atık oluşumu olmamaktadır. Ancak acil bir durumda müdehale edilmesi durumunda oluşması muhtemel tıbbi atıklar revirde yer alan tıbbi atık kutusunda toplanacak ve bertaraf tesisine gönderilecektir.</t>
  </si>
  <si>
    <t>AR-GE</t>
  </si>
  <si>
    <t>Yeni Ürün Geliştirme Süreci</t>
  </si>
  <si>
    <t>Yeni Ürün Geliştirilmesi Sürecinde  Kullanılan Hammadde Cinsi, Hammadde Kilosu, Aksesuar Tercihi Aşamasında Yaşam Döngüsünün Gözetilmesi</t>
  </si>
  <si>
    <t>AÇIKLAMA</t>
  </si>
  <si>
    <t>Ürün Yönetimi</t>
  </si>
  <si>
    <t>Yeni Malzeme Karar Süreci</t>
  </si>
  <si>
    <t>Yeni Malzeme İhtiyaçlarına Karar Verildiği Süreç(Kumaş, Seramik, Cam vs.)</t>
  </si>
  <si>
    <t>SSH</t>
  </si>
  <si>
    <t>Garanti Belgesi Süreci</t>
  </si>
  <si>
    <t>Kullanım Klavuzu/ Garanti Belgesine Müşteriye Yaşam Döngüsü Bilgilendirmesi Yapılır.</t>
  </si>
  <si>
    <t>Dijital Pazarlama</t>
  </si>
  <si>
    <t xml:space="preserve">Web Sitesi Süreci </t>
  </si>
  <si>
    <t>Web Sitesindeki Sertifika Alanına Ürün Sertifika ve Bilgilerin Girilmesi</t>
  </si>
  <si>
    <t>Doğal Kaynak Tüketimi</t>
  </si>
  <si>
    <t>Üretimde Kullanılacak Malzemenin Geri Dönüştürülebilir İçerikli Seçilmesi</t>
  </si>
  <si>
    <t>Üretilen Ürünün Kullanım Ömrü Dolduktan Sonra Yaşam Döngüsü Kapsamında Bilgilendirme Yapılması</t>
  </si>
  <si>
    <t>Yeni Ürün Geliştirme Sürecinde Yaşam Döngüdü Gözetilerek Ürün Geliştirilecektir.</t>
  </si>
  <si>
    <t xml:space="preserve">Dok. No      </t>
  </si>
  <si>
    <t>Yayın Tarihi</t>
  </si>
  <si>
    <t>Rev. No</t>
  </si>
  <si>
    <t>Rev. Tarihi</t>
  </si>
  <si>
    <t>LS.ÇY.01</t>
  </si>
  <si>
    <t>OFİSLER</t>
  </si>
  <si>
    <t>İŞYERİ HEKİMİ</t>
  </si>
  <si>
    <t>Yeni Ürün Geliştirme Sürecinde  FR.AR.05 Prototip Değerlendirme Formuna Yaşam Döngüsü Süreci Eklenmiştir, Tasarlanacak Ürünler Bu Form Kapsamında Değerlendirilecektir.</t>
  </si>
  <si>
    <t>İnsan Kaynakları</t>
  </si>
  <si>
    <t>Eğitim Faaliyetleri</t>
  </si>
  <si>
    <t>Çalışanlarda %10 değişim sağlandığında eğitimler tekrarlanır.</t>
  </si>
  <si>
    <t xml:space="preserve">Çevre </t>
  </si>
  <si>
    <t>Çalışanlar arasında çevresel farkındalığı artırmak için eğitim programları düzenlenmesi</t>
  </si>
  <si>
    <t>Çevresel düzenlemelere uyum ve sektör standartlarına göre sertifikasyonların alınması.</t>
  </si>
  <si>
    <t>Yasal Faaliyetler</t>
  </si>
  <si>
    <t>Standartlar</t>
  </si>
  <si>
    <t>Çevre Etiketi kapsamında çalışmaların düzenlenmesi</t>
  </si>
  <si>
    <t>Tesisler ve Bakım Yöneticiliği</t>
  </si>
  <si>
    <t>Güncellenme Tarihi</t>
  </si>
  <si>
    <t>VOC (uçucu organik bileşikler) salınımı, hava kirliliği</t>
  </si>
  <si>
    <t>Kondisyon Toplantısında</t>
  </si>
  <si>
    <t>Geri Dönüştürülebilir ve çevreye zarar vermeyen ürün seçimi</t>
  </si>
  <si>
    <t>Emisyon Noktasında Kaçak Olması, Filtre Sisteminin Çalışmaması</t>
  </si>
  <si>
    <t>Pelet Üretim Ünitesi</t>
  </si>
  <si>
    <t>Boya İşlemi Sırasında Oluşan Atıkların Ayrı Toplanmasının Yapılması ve Sızdırmaz Zemin Üzerinde Biriktirilmesi Sürekli Kontrol Altında Tutulacaktır.</t>
  </si>
  <si>
    <t>Tehlikeli Atık Geçici Depolama Alanı Ünitesi</t>
  </si>
  <si>
    <t>Geçici depolama alanında depolanan tehlikeli atıklar uygun şartlarda depolanmamasından dolayı çevresel kirlilik oluşumu</t>
  </si>
  <si>
    <t>Tehlikesiz Atık Geçici Depolama Alanı Ünitesi</t>
  </si>
  <si>
    <t>Geçici depolama alanında depolanan tehlikesiz atıklar uygun şartlarda depolanmamasından dolayı çevresel kirlilik oluşumu</t>
  </si>
  <si>
    <t>Boyahanede bulunan bacalardan çıkan emisyonları kapsar</t>
  </si>
  <si>
    <t>Filtre sisteminin düzenli olarak bakımlarının ve kaçak durumuna göre igili tedbirler ivedi bir şekilde alınmalıdır.</t>
  </si>
  <si>
    <t>Kullanılan kimyasalların uygun koşullarda muhafaza edilecek, kullanıldıktan sonra tehlikeli atık alanında geçici olarak depolanacaktır</t>
  </si>
  <si>
    <t>Döşeme Ünitesi</t>
  </si>
  <si>
    <t>Döşeme ünitesinde kullanılan kimyasal malzemeleri kapsar</t>
  </si>
  <si>
    <t>Döşeme ünitesinde kullanılan kimyasalların dökülmesi, sızması, yanlış alanda muhafaza edilmesi</t>
  </si>
  <si>
    <t>Boyahane alanında oluşan boya çamuru atıklarını kapsar</t>
  </si>
  <si>
    <t>Klima Kullanımı</t>
  </si>
  <si>
    <t>Genel</t>
  </si>
  <si>
    <t>Emisyon</t>
  </si>
  <si>
    <t>Floresan</t>
  </si>
  <si>
    <t>Elektronik Atıklar</t>
  </si>
  <si>
    <t>Ham madde kullanımını arttırır</t>
  </si>
  <si>
    <t>Tehlikeli atık oluşumu</t>
  </si>
  <si>
    <t>Hava kirliliği oluşumu</t>
  </si>
  <si>
    <t>Atık alanında atık koduna göre depolanıp lisanslı bertaraf firmalarına gönderilecektir.</t>
  </si>
  <si>
    <t>Sıfır atık kumbaralarında ayrı toplanacaktır, lisanslı geri dönüşüm firmalarına göderilecektir</t>
  </si>
  <si>
    <t>Bakımları düzenli olarak yapılacaktır</t>
  </si>
  <si>
    <t>Atık alaında ayrı toplanacaktır, lisanslı geri dönüşüm firmalarına göderilecektir</t>
  </si>
  <si>
    <t>Tespit edildikten sonra 1 hafta İçerisinde</t>
  </si>
  <si>
    <t>Atık Depolama</t>
  </si>
  <si>
    <t>İSG</t>
  </si>
  <si>
    <t>Firma geneli KKD kullanımı</t>
  </si>
  <si>
    <t>Kullanılamayacak durumda olan KKD atıkları</t>
  </si>
  <si>
    <t>Taşıma Araçları Kullanım ve Bakımı</t>
  </si>
  <si>
    <t>Binek Araçları Kullanım ve Bakımı</t>
  </si>
  <si>
    <t>Lastik ve Akü Atıkları</t>
  </si>
  <si>
    <t>Binek araçların bakım onarım süreçleri</t>
  </si>
  <si>
    <t>Ambalaj Atığı</t>
  </si>
  <si>
    <t>Bakım Süreçleri</t>
  </si>
  <si>
    <t>Bakım - Onarım süreçlerinde çıkan telikeli ve telikesiz atıkların uygun olarak depolanamamasından dolayı çevresel kirlilik oluşumu</t>
  </si>
  <si>
    <t>Bakım Onarım,
Geçici Atık Depolama Alanı Sorumlusu</t>
  </si>
  <si>
    <t>Depolama</t>
  </si>
  <si>
    <t>Tahta Paletler</t>
  </si>
  <si>
    <t>Depolama süreçlerinde çıkan ambalaj atılarının uygun olarak depolanmamasından dolayı çevresel kirlilik oluşumu</t>
  </si>
  <si>
    <t>Müşteri Memnuiyei Süreci</t>
  </si>
  <si>
    <t>Montaj sonrası ambalaj atıları</t>
  </si>
  <si>
    <t>Depolama Süreçleri</t>
  </si>
  <si>
    <t>Ambalaj atıkları montaj sonrası alınarak firma bünyesinde atık koduna uygun olarak depolama alanına alınır ve lisanslı firmalara teslim edilir.</t>
  </si>
  <si>
    <t>Depolama,
Geçici Atık Depolama Sorumlusu</t>
  </si>
  <si>
    <t>Üretim Sorumlusu,
Geçici Atık Depolama Sorumlusu</t>
  </si>
  <si>
    <t>Ofis Çalışanları</t>
  </si>
  <si>
    <t>İdari İşler</t>
  </si>
  <si>
    <t>Tespit edildikten sonra 1 ay İçerisinde</t>
  </si>
  <si>
    <t>YEMEKHANE</t>
  </si>
  <si>
    <t>Organik atık</t>
  </si>
  <si>
    <t>Yemek yapımında kullanılan bitkisel yağları kapsar</t>
  </si>
  <si>
    <t>Yemekhane</t>
  </si>
  <si>
    <t>Yemek artığı oluşumu</t>
  </si>
  <si>
    <t>Revizyon İzleme</t>
  </si>
  <si>
    <t>No</t>
  </si>
  <si>
    <t>Revize</t>
  </si>
  <si>
    <t>Tarih</t>
  </si>
  <si>
    <t>Değişiklik Tanımı</t>
  </si>
  <si>
    <t>Sayfa</t>
  </si>
  <si>
    <t>İLK YAZIM</t>
  </si>
  <si>
    <t>Hepsi</t>
  </si>
  <si>
    <t>Başlıklar güncellendi</t>
  </si>
  <si>
    <t>Toplam boyut başlığı içeriği güncellendi 
Revizyon tablosu eklendi</t>
  </si>
  <si>
    <t>Belediye çöp konteynerlerine atılmaktadır</t>
  </si>
  <si>
    <t>Atık alanında ayrı toplanacaktır, lisanslı bertaraf firmalarına göderilecektir</t>
  </si>
  <si>
    <t>Geçici Depolama Alanını Fiziksel Şartlarının Tamamen Yasal Yükümlülükleri Sağlayacak Şekilde Tutmak Ve Depolanan Atık Kodlarına Ugun Şekilde Depolamak ve Lisanslı Geri Dönüşüm Firmasına Teslim Edilmektedir.</t>
  </si>
  <si>
    <t>Geçici Depolama Alanını Fiziksel Şartlarının Tamamen Yasal Yükümlülükleri Sağlayacak Şekilde Tutmak Ve Depolanan Atık Kodlarına Ugun Şekilde Depolamak ve Lisanslı Bertaraf Firmasına Teslim Edilmektedir.</t>
  </si>
  <si>
    <t>Atık alaında ayrı toplanacaktır, lisanslı bertaraf firmalarına göderilecektir</t>
  </si>
  <si>
    <t>Üretim</t>
  </si>
  <si>
    <t>Atık alanında depolanıp lisanslı geri dönüşüm firmasına teslim edilmektedir.</t>
  </si>
  <si>
    <t>Döşeme ünitesinde kullanılan tehlikesiz atıkları kapsar</t>
  </si>
  <si>
    <t>Döşeme ünitesinde kullanılan sünger, kumaş gibi tehlikesiz atıkların muhafaza edilmesi</t>
  </si>
  <si>
    <t>Kullanılan tehlikesiz atıklar uygun koşullarda muhafaza edilip, lisanslı geri dönüşüm firmalarına teslim edilecektir.</t>
  </si>
  <si>
    <t>Boyahane alanında kullanılan KKD lerin tehlikeli atıklarını kapsar</t>
  </si>
  <si>
    <t>Kullanılan KKD lere kimyasal bulaştıktan sonra çevresel ortam ve canlılar ile temas etmesi</t>
  </si>
  <si>
    <t>Kullanılan KKD ler tehlikeli atık depolama bölümünde depolanarak lisanslı bertaraf firmalarına teslim edilmektedi</t>
  </si>
  <si>
    <t>Panel ünitesinden üretim esnasında çıkan alüminyum atıkları kapsar</t>
  </si>
  <si>
    <t>Sürpüntü atığı</t>
  </si>
  <si>
    <t>Tehlikesiz atık oluşumu</t>
  </si>
  <si>
    <t>Üretim aşamasıda oluşan tehlikeli atıklar tehlikeli atık depolama alanında depolanarak lisanslı bertaraf firmalarına teslim edilmektedir.</t>
  </si>
  <si>
    <t>Akü, lastik gibi atıklar yetkili servis tarafından alınacaktır.</t>
  </si>
  <si>
    <t>Tesisler ve Bakım</t>
  </si>
  <si>
    <t>FAALİYET / ÜRÜN  / HİZMET</t>
  </si>
  <si>
    <t xml:space="preserve">LOKASYON </t>
  </si>
  <si>
    <t>ÇEVRE ETKİSİ</t>
  </si>
  <si>
    <t>SIKLIK</t>
  </si>
  <si>
    <t>RİSK DEĞERİ</t>
  </si>
  <si>
    <t>RİSK DERECELENDİRMESİ</t>
  </si>
  <si>
    <t>FAALİYET PLANI</t>
  </si>
  <si>
    <t>SONUÇ</t>
  </si>
  <si>
    <t>ÇEVRE BOYUT- ETKİ DEĞERLENDİRME ANALİZİ     (KINNEY)</t>
  </si>
  <si>
    <t>RİSK ANALİZİ 1. REVİZYON</t>
  </si>
  <si>
    <t>FAALİYET PLANI 1. REVİZYON SONRASI</t>
  </si>
  <si>
    <t>RİSK ANALİZİ 2. REVİZYON</t>
  </si>
  <si>
    <t>FAALİYET PLANI 2. REVİZYON SONRASI</t>
  </si>
  <si>
    <t xml:space="preserve">Panel Hattı </t>
  </si>
  <si>
    <t>Olasılık Değeri</t>
  </si>
  <si>
    <t>Tanımlama</t>
  </si>
  <si>
    <t>Beklenir,kesin</t>
  </si>
  <si>
    <t>Yüksek/oldukça mümkün</t>
  </si>
  <si>
    <t>Olası</t>
  </si>
  <si>
    <t>Nadiren ama mümkün</t>
  </si>
  <si>
    <t>Beklenmez fakat mümkün</t>
  </si>
  <si>
    <t>Pratikte mümkün değil</t>
  </si>
  <si>
    <t>Sadece teorik olarak mümkün</t>
  </si>
  <si>
    <t xml:space="preserve">Ucuz atlatma / önemsiz etki </t>
  </si>
  <si>
    <t xml:space="preserve">Lokal- bertarafı  hızlı ve kolay etki </t>
  </si>
  <si>
    <t xml:space="preserve">Lokasyon dışına yayılabilen / yayılmış- bertarafı hızlı ve kolay etki </t>
  </si>
  <si>
    <t xml:space="preserve">Lokal- bertarafı güç ve zaman alan etki </t>
  </si>
  <si>
    <t>Lokasyon Dışına yayılabilen / yayılmış -bertarafı güç ve zaman alan etki</t>
  </si>
  <si>
    <t>Lokal veya lokasyon dışında- bertarafı mümkün olmayan kaza/olay</t>
  </si>
  <si>
    <t>Sıklık Değeri</t>
  </si>
  <si>
    <t>Tanımalama</t>
  </si>
  <si>
    <t xml:space="preserve">
Hemen Hemen Sürekli (bir saatte birkaç defa)
</t>
  </si>
  <si>
    <t>Sık (Günde bir veya birkaç defa)</t>
  </si>
  <si>
    <t>Ara Sırada (Haftada bir veya birkaç defa)</t>
  </si>
  <si>
    <t>Sık Değil (ayda bir veya birkaç defa)</t>
  </si>
  <si>
    <t>Seyrek(yılda birkaç defa)</t>
  </si>
  <si>
    <t>Çok Seyrek ( yılda bir veya daha seyrek)</t>
  </si>
  <si>
    <t>Etkinin Derecelendirilmesi</t>
  </si>
  <si>
    <t>Etki Derecesi</t>
  </si>
  <si>
    <t>R değeri</t>
  </si>
  <si>
    <t xml:space="preserve">Etki Sınıfı </t>
  </si>
  <si>
    <t>Yapılması Gerekenler</t>
  </si>
  <si>
    <t>R&lt;20</t>
  </si>
  <si>
    <t>Düşük Risk</t>
  </si>
  <si>
    <t>Herhangi bir aktivite gerekmiyor. 
Uyarı yöntemi yeterli olabilir. 
Mevcut talimatlar uygulanır.</t>
  </si>
  <si>
    <t>20&lt;R&lt;70</t>
  </si>
  <si>
    <t>Olası Risk</t>
  </si>
  <si>
    <t>Ek kontrol önlemi gerekmiyor veya asgari kontrol önlemi uygulanabilir. Fakat dikkat gerekli. 
Mevcut talimatlar uygulanır.</t>
  </si>
  <si>
    <t>70&lt;R&lt;200</t>
  </si>
  <si>
    <t>Ciddi Risk</t>
  </si>
  <si>
    <t xml:space="preserve">Takip gerekli. 
Risk azaltacak önlemler alınmalı. 
Aksiyon planı (planlanmış) olmalı. </t>
  </si>
  <si>
    <t>200&lt;R&lt;400</t>
  </si>
  <si>
    <t>Kritik Risk</t>
  </si>
  <si>
    <t>Acil önlem alınmalı. 
Risk azaltılana kadar tercihen çalışma yapılmamalı. 
Çalışma yapılması gerekiyorsa mutlaka kontrol altında yapılmalı. 
Tehlikeli durumlarda çalışma için talimatı olmalı.</t>
  </si>
  <si>
    <t>400&lt;R</t>
  </si>
  <si>
    <t>Kabul edilemez Risk</t>
  </si>
  <si>
    <t>Yapılan iş durdurulmalı. 
Risk azaltılıncaya kadar başlatılmamalı.</t>
  </si>
  <si>
    <t>MDF/Suntalam kesim sırasında açığa çıkan toz ve talaş</t>
  </si>
  <si>
    <t>Toz Emisyonu</t>
  </si>
  <si>
    <t>Maske kullanımı, düzenli filtre bakımı</t>
  </si>
  <si>
    <t>Vardiya Lideri, İSG Uzmanı, Bakım Onarım Mühendisi</t>
  </si>
  <si>
    <t>Hava kalitesini etkiler, çalışan sağlığı risk altında</t>
  </si>
  <si>
    <t>MDF/Suntalam kesim sonucu biriken talaş ve toz</t>
  </si>
  <si>
    <t>Yangın Riski</t>
  </si>
  <si>
    <t>Talaş birikimi yangın riskini artırır</t>
  </si>
  <si>
    <t>Bakım Onarım Mühendisi</t>
  </si>
  <si>
    <t>Aylık Faaliyet Kontrolü</t>
  </si>
  <si>
    <t>Yangından Korunma Danışması İle Yangın Söndürme ve Oluşmasını Engelleyecek Faaliyet Planı Oluşturuldu.</t>
  </si>
  <si>
    <t>Bantlama sırasında uçucu organik bileşikler ve toz açığa çıkması</t>
  </si>
  <si>
    <t>VOC / Toz Emisyonu</t>
  </si>
  <si>
    <t>Hava kirliliği, çalışan sağlığı</t>
  </si>
  <si>
    <t>Havalandırma, filtreleme, maske kullanımı</t>
  </si>
  <si>
    <t>Ortam ölçümleri ile periyodik kontrol sağlanmaktadır.</t>
  </si>
  <si>
    <t>Delik makinası çalışırken oluşan yüksek ses</t>
  </si>
  <si>
    <t>Gürültü</t>
  </si>
  <si>
    <t>Çalışanların işitme sağlığını etkiler</t>
  </si>
  <si>
    <t>Kulaklık kullanımı, makina bakımı</t>
  </si>
  <si>
    <t>Vardiya Lideri,İSG Uzmanı</t>
  </si>
  <si>
    <t>Paketleme sırasında kullanılan karton, streç film ve plastik</t>
  </si>
  <si>
    <t>Katı atık miktarını artırır, geri dönüşüm gerektirir</t>
  </si>
  <si>
    <t>Günlük Atıkların Geçiçi Atık alanına sevk edilerek toplanması</t>
  </si>
  <si>
    <t>Günlük / Tespit Edildiği Anda</t>
  </si>
  <si>
    <t>Uygun KKD kullanımı uyulmazsa tutanak tutulmaktadır.</t>
  </si>
  <si>
    <t>Günlük Geçici Atık Alanına Taşınmaktadır.</t>
  </si>
  <si>
    <t>Tüm hat makinelerinin elektrik tüketimi</t>
  </si>
  <si>
    <t>Enerji Kullanımı</t>
  </si>
  <si>
    <t>Fosil yakıt kaynaklı CO₂ emisyonu, enerji tüketimi</t>
  </si>
  <si>
    <t>Güneş Enerjisi Panelleri İle Doğal Kaynaklı Enerji Kullanımı / Enerjinin Geri Dönüştürülmesi</t>
  </si>
  <si>
    <t>Güneş enerjisi Panelleri Kullanılmaktadır.</t>
  </si>
  <si>
    <t>Temizlik sırasında solvent kullanımı</t>
  </si>
  <si>
    <t>Çalışan sağlığı</t>
  </si>
  <si>
    <t>MSDS Kontrolleri Gerçekleştirilmektedir.</t>
  </si>
  <si>
    <t>Satınalma Yöneticisi
İSG Uzmanı</t>
  </si>
  <si>
    <t>Yeni Ürün Malzeme Alımlarında</t>
  </si>
  <si>
    <t>MSDS ler malzeme kullanılan alanlarda bulundurulmaktadır.</t>
  </si>
  <si>
    <t>Talaşın günlük temizliği, yangın tatbikatları, acil durum ekipmanlarının kontrolü, Yangın algılama ve söndürme sistemi, talaşın düzenli toplanması</t>
  </si>
  <si>
    <t>Uygun KKD kullanımı uyulmazsa tutanak tutulmaktadır. Toz toplama sisteminin düzenli bakım ve filtre değişimi,</t>
  </si>
  <si>
    <t>Hava Emisyonu (VOC, toz, partikül)</t>
  </si>
  <si>
    <t>Boya işlemi sırasında bacalarda oluşan emisyonların çevresel ortam ve canlılar ile temas etmesi</t>
  </si>
  <si>
    <t>Üst Yönetim, Satın Alma, Bakım Onarım Mühendisi</t>
  </si>
  <si>
    <t>Tehlikeli Katı Atık</t>
  </si>
  <si>
    <t>Atık Taşımaya Uygun Kap Kullanımı Sağlanmaktadır.</t>
  </si>
  <si>
    <t>Bertarafı Lisanslı Firma Tarafından Sağlanmaktadır.</t>
  </si>
  <si>
    <t>Boyama işlemi sırasında oluşan atık ve artık boya</t>
  </si>
  <si>
    <t>Toprak ve su kirliliği, insan sağlığı riski</t>
  </si>
  <si>
    <t>Yeni Kimyasal Depolarda Kör Kuyu Uygulaması Yapılmıştır. Kimyasal altına tepsi kullanılmaktadır.</t>
  </si>
  <si>
    <t>Kumaş ve deri kesim sırasında ortaya çıkan atık ve talaş</t>
  </si>
  <si>
    <t>Atık Oluşumu</t>
  </si>
  <si>
    <t>Kesim planlamasıyla atık azaltımı, geri dönüşüm ve yeniden kullanım programı</t>
  </si>
  <si>
    <t>Kesim Optimizasyon Planlaması Yapılacak</t>
  </si>
  <si>
    <t>Üretim Sorumlusu,Planlama Mühendisi
Geçici Atık Depolama Sorumlusu</t>
  </si>
  <si>
    <t>Katı Atık Oluşumu</t>
  </si>
  <si>
    <t>Masif Birimi</t>
  </si>
  <si>
    <t>Kayın blok ve profillerin kesimi sırasında oluşan talaş</t>
  </si>
  <si>
    <t>Zımparalama işlemi sırasında açığa çıkan toz</t>
  </si>
  <si>
    <t>Hava ve çevre kalitesini etkiler</t>
  </si>
  <si>
    <t>Yapıştırıcı veya vernik kullanımı</t>
  </si>
  <si>
    <t>Ofis Çalışması</t>
  </si>
  <si>
    <t>Aydınlatma ve bilgisayar kullanımı</t>
  </si>
  <si>
    <t>Enerji Tüketimi</t>
  </si>
  <si>
    <t>Fosil yakıt kaynaklı CO₂ emisyonu, enerji kaybı</t>
  </si>
  <si>
    <t>Yazıcı, fotokopi ve kağıt kullanımı</t>
  </si>
  <si>
    <t>Orman kaynaklarının tüketimi, katı atık artışı</t>
  </si>
  <si>
    <t>Sıfır atık kumbaralarında ayrı toplanacaktır, lisanslı geri dönüşüm firmalarına göderilecektir
Dolumu yapılabilen tonerler dolum yapılıp kullanılacak ve dolumu yapılamayan tonerler atık alanında atık koduna göre depolanıp lisanslı bertaraf firmalarına gönderilecektir.</t>
  </si>
  <si>
    <t>Ofislerde Atık kutuları yerleştirilmiş ve kaynağında ayrım yapılmaktadır.</t>
  </si>
  <si>
    <t>Ofislerde Atık kutuları yerleştirilmiş ve kaynağında ayrım yapılmaktadır.
Tonerler ise geçici depoalama alanında depolanarak lisanslı firmalara sevk edilmektedir.</t>
  </si>
  <si>
    <t xml:space="preserve">Yiyecek İçecek Tüketimi,
Plastik bardak, plastik çatal-bıçak </t>
  </si>
  <si>
    <t>Isı geri kazanımı, termostat kontrolü, bakım programı</t>
  </si>
  <si>
    <t>Geçici Depolama Alanında Depolanmakta ve Lisanlı Frimalara Verilmektedir.</t>
  </si>
  <si>
    <t>Yetkili Servislere bırakılmaktadır.</t>
  </si>
  <si>
    <t>Bakım Onarım Süreçleri</t>
  </si>
  <si>
    <t>Günlük Olarak Konteynıra Atılmaktadır.</t>
  </si>
  <si>
    <t>Bitkisel atık oluşumu</t>
  </si>
  <si>
    <t>Toprak ve su kirliliği</t>
  </si>
  <si>
    <t>Sızdırmaz varillerde biriktirilip telikeli atık alanında muafaza edilmelidir. Yemek firması tarafından teslim alınmaktadır.</t>
  </si>
  <si>
    <t>Haftalık Yemek Firmasına Yemek Getiren Araç İle gönderilmektedir.</t>
  </si>
  <si>
    <t>Günlük Atık Kutularına Atılmaktadır.</t>
  </si>
  <si>
    <t>Tıbbı Atık Oluşumu</t>
  </si>
  <si>
    <t>Tehlikeli Atık oluşumu</t>
  </si>
  <si>
    <t>Tıbbı Atık Kodu Tanımlanmıştır ve Lisanslı Firmalara Verilmektedir.</t>
  </si>
  <si>
    <t>Toprak kirliliği, insan sağlığı riski</t>
  </si>
  <si>
    <t>Yeni Ürün Geliştirme Sürecinde İncelenmektedir.</t>
  </si>
  <si>
    <t>Garanti Belgelerinde Bilgilendirme Metni Eklenmiştir.</t>
  </si>
  <si>
    <t>Günlük Olarak montaj arabalarından geçici depolama alanına aktarılmaktadır.</t>
  </si>
  <si>
    <t>Kullanılan Malzeme belgelerinin WEB sitesinde yayınlanması</t>
  </si>
  <si>
    <t>Doğal Kaynak Tüketimi, Atık Oluşumu</t>
  </si>
  <si>
    <t>Eğitimsiz Peronelin Fazla Doğal Kaynak Kullanımı ve Atıkların Ayrıştırılmaması</t>
  </si>
  <si>
    <t>Firma Bünyesinde Çevre danışmanı tarafından çevre eğitimleri verilmektedir.</t>
  </si>
  <si>
    <t>Eksik Uygulama</t>
  </si>
  <si>
    <t>Geçici Depolama Alanı ve Kimyasal Depo Yeniden Mevzuatlara Uygun Olarak Yapılandırılmıştır.</t>
  </si>
  <si>
    <t>Hava Kirliliği</t>
  </si>
  <si>
    <t>Geçici Depolama Alanlarında Saklanmaktadır.</t>
  </si>
  <si>
    <t>PROJE PLANLARI YER ALMAKTADIR.</t>
  </si>
  <si>
    <t>Toz Toplama  Sistemi İçin Yeni Çalışma Yapılmaktadır.</t>
  </si>
  <si>
    <t>Tedarikçi Süreçleri</t>
  </si>
  <si>
    <t>Kimyasal Tedarikçisi Teslimatı</t>
  </si>
  <si>
    <t>Kimyasal dökülme riski</t>
  </si>
  <si>
    <t>Kalite</t>
  </si>
  <si>
    <t>Kimyasal ürün kutusu dökülme kiti bulunan alanda kontrol edilmekte. Darbe almış, hasar görmüş ürünler kabul edilmemekte.</t>
  </si>
  <si>
    <t>Hasar görmüş paketler reddedilerek tedarikçi firmaya iadesi gerçekleştirilmekte.</t>
  </si>
  <si>
    <t>Ambalajlı Malzeme Tedariki</t>
  </si>
  <si>
    <t>Atık artışı</t>
  </si>
  <si>
    <t>Ürünler montajlandıktan sonra atıklar toplanarak atık depolama alanına alınmaktadır.</t>
  </si>
  <si>
    <t>Tehlikesiz atıklar lisanslı geri dönüşüm firmalarına teslim edilmektedir.</t>
  </si>
  <si>
    <t>Kalitesiz ürün teslimi</t>
  </si>
  <si>
    <t>Tedarikçi yerinde kontrol yapılarak uygun olan ürünler fabrikaya alınmaktadır.</t>
  </si>
  <si>
    <t>Depo ürün kabulü sırasında ahsar görmüş ürünler reddedilerek nakliye aracı ile anında iade edilmektedir.</t>
  </si>
  <si>
    <t>Satınalma Süreçleri</t>
  </si>
  <si>
    <t>Malzeme içeriklerinin çevreye zararlı olup olmaması (VOC içeriği, solvent oranı)</t>
  </si>
  <si>
    <t>VOC Emisyon</t>
  </si>
  <si>
    <t>Tedarikçi şartnamelerinde satınalınan ürünün kimyasal içerik kontrol edilmektedir. Kimyasallarda MSDS formları tedarikçiden temin edilmektedir.
Suntalam vb. ürünler ise CARB ve EPA belgeli direk stok kodundan temin edilmektedir.</t>
  </si>
  <si>
    <t>Tespit Edindiği Anda</t>
  </si>
  <si>
    <t>Stok tanımlarına hangi kimyasal özellikte olduğu eklenmiştir.</t>
  </si>
  <si>
    <t>Tedarikçi Çalışanlarının Saha Faaliyetleri</t>
  </si>
  <si>
    <t>Atıkların yanlış yönetimi</t>
  </si>
  <si>
    <t>Çevre Kirliliği</t>
  </si>
  <si>
    <t>Karışık atık oluşumu</t>
  </si>
  <si>
    <t>Eğitim, saha kuralları bildirimi</t>
  </si>
  <si>
    <t>Çevre Danışmanı</t>
  </si>
  <si>
    <t>Her Yıl</t>
  </si>
  <si>
    <t>Tedarikçilerle ziyaret sahası içeriğinde İSG ve Çevre unsurları bildirilmektedir.</t>
  </si>
  <si>
    <t>Yeni Tedarikçi Seçimi</t>
  </si>
  <si>
    <t>Çevresel uygunluk eksikliği</t>
  </si>
  <si>
    <t>Daha fazla atık ve zararlı malzeme kullanımı</t>
  </si>
  <si>
    <t>Tedarikçi çevre değerlendirme formu,
Tedarikçi Denetim Listesi</t>
  </si>
  <si>
    <t>Tedarikçi denetimleri gerçekleştirilmektedir.</t>
  </si>
  <si>
    <t>Pazarlama</t>
  </si>
  <si>
    <t>Reklam ve promosyon materyalleri basımı</t>
  </si>
  <si>
    <t>Kağıt ve baskı kullanımı</t>
  </si>
  <si>
    <t>Geri dönüşümlü kağıt, dijital reklam</t>
  </si>
  <si>
    <t>Online platformlar kullanılmaya çalışılmaktadır.</t>
  </si>
  <si>
    <t>Etkinlik ve fuar organizasyonları</t>
  </si>
  <si>
    <t>Enerji tüketimi, ulaşım kaynaklı emisyon</t>
  </si>
  <si>
    <t>Karbon ayak izi artışı, enerji tüketimi</t>
  </si>
  <si>
    <t>Fuar ürünlerinin Pop Up mağazalarda değerlendirilmesi.
Ve fuar kurulumlarının geri dönüştürülebilir seçilmesi.</t>
  </si>
  <si>
    <t>Müşteri ziyaretleri, saha satış faaliyetleri</t>
  </si>
  <si>
    <t>Araç kullanımı, yakıt tüketimi, CO₂ emisyonu</t>
  </si>
  <si>
    <t>Hava kirliliği, karbon ayak izi artışı</t>
  </si>
  <si>
    <t>Satış</t>
  </si>
  <si>
    <t>Pazarlama Müdürü</t>
  </si>
  <si>
    <t>Online toplantı, Rota optimizasyonu</t>
  </si>
  <si>
    <t>Satış Direktörü</t>
  </si>
  <si>
    <t>Teklif, sözleşme, sipariş, evrak, kartvizit kullanımı</t>
  </si>
  <si>
    <t>Kağıt tüketimi, kağıt atığı</t>
  </si>
  <si>
    <t>Orman kaynaklarının azalması, atık oluşumu</t>
  </si>
  <si>
    <t>Satış ekipmanlarının (tablet, laptop, telefon vb.) kullanımı</t>
  </si>
  <si>
    <t>Elektronik cihaz enerji tüketimi</t>
  </si>
  <si>
    <t>Dolaylı karbon emisyonu</t>
  </si>
  <si>
    <t>Enerji verimliliği olan cihaz kullanımı</t>
  </si>
  <si>
    <t>Enerji tüketimi, dolaylı emisyon artışı</t>
  </si>
  <si>
    <t>fine kinney metoduna geçiş yapılmıştır.</t>
  </si>
  <si>
    <t>Kalibrasyon sürecinde kullanım dışı ayrılan cihazların bertaraf edilmesi.</t>
  </si>
  <si>
    <t>Kalibrasyon dışı olarak tespit edilen cihazlar LS.KY.39 formu ile bakım birimine teslim edilmektedir.</t>
  </si>
  <si>
    <t>Bakım birimi cihazlarda kullanılacak parçaları aldıktan sonra Çevre görevlisine teslim ederek geri dönüşüm sürecini başlatır.</t>
  </si>
  <si>
    <t>Montaj İşlemi İçin Müşteri Evine Ulaşım</t>
  </si>
  <si>
    <t>Servis aracında fosil yakıt tüketimi</t>
  </si>
  <si>
    <t>CO₂ emisyonları</t>
  </si>
  <si>
    <t>İklim değişikliğine olumsuz etki</t>
  </si>
  <si>
    <t>Rota optimizasyonu (aynı bölgede birden fazla müşteri ziyareti planlama) yapılmaktadır.</t>
  </si>
  <si>
    <t>Prototip üretimi sırasında elektrikli cihaz kullanımı</t>
  </si>
  <si>
    <t>3D yazıcı, CNC gibi makinelerin kullanımı sırasında yüksek elektrik tüketimi</t>
  </si>
  <si>
    <t>Enerji tüketimi.</t>
  </si>
  <si>
    <t>Artan karbon salımı ve doğal kaynak tüketimi.</t>
  </si>
  <si>
    <t>Gereksiz çalışmanın önlenmesi, cihazların sınırlı kullanım kararları.</t>
  </si>
  <si>
    <t>Genel kullanım için sınırlandırma koyulmuştur. Kullanabilen kişi sayısı belirlenmiştir.</t>
  </si>
  <si>
    <t>Yakıt tüketimi, egzoz emisyonu.</t>
  </si>
  <si>
    <t>Karbon salımı, hava kirliliği, iklim değişikliğine katkı.</t>
  </si>
  <si>
    <t>Müşteri Ziyaretleri</t>
  </si>
  <si>
    <t>Araç kullanımı</t>
  </si>
  <si>
    <t>Online toplantı organizasyonlarının artırılması</t>
  </si>
  <si>
    <t>Online toplantı platdormları kullanılmaya çalışılmaktadır.</t>
  </si>
  <si>
    <t>Kalite kontrollerde ölçüm cihazları kullanılır; pil tüketimi ve enerji kullanımı oluşur.</t>
  </si>
  <si>
    <t>Pil tüketimi, küçük ölçekli enerji kullanımı.</t>
  </si>
  <si>
    <t>Tehlikeli atık (pil), kaynak tüketimi.</t>
  </si>
  <si>
    <t>Ölçüm Cihazlarının kullanımı</t>
  </si>
  <si>
    <t>Atık pillerin ayrı toplanması</t>
  </si>
  <si>
    <t>Atık piller atık pil kutusunda ayrı olarak toplanarak lisanslı geri dönüşüm firmalarına teslim edilmektedir.</t>
  </si>
  <si>
    <t>Süreç Geliştirme</t>
  </si>
  <si>
    <t>Süreç analizleri için veri toplama ve raporlama (yazıcı, bilgisayar kullanımı)</t>
  </si>
  <si>
    <t>Süreç geliştirme ekipleri yoğun dokümantasyon oluşturur ve analiz raporları hazırlar.</t>
  </si>
  <si>
    <t>Elektrik tüketimi, kağıt ve toner sarfiyatı.</t>
  </si>
  <si>
    <t>Artan CO₂ salımı, atık kâğıt ve toner oluşumu.</t>
  </si>
  <si>
    <t>Dijital raporlama, çift taraflı baskı, analiz dosyalarının elektronik ortamda saklanması.</t>
  </si>
  <si>
    <t>Süreç Geliştirme Yöneticisi</t>
  </si>
  <si>
    <t>Kalite Yöneticisi</t>
  </si>
  <si>
    <t>Raporlar ve analiz dijiral ortamda tutulmakta, Baskılar tek taraflı olarak çıkarılıp işlemini tamamladıktan sonra diğer tarafın değerlendirilmesi.</t>
  </si>
  <si>
    <t>Süreç değişikliği önerilerinde kullanılan toplantı ve eğitim faaliyetleri</t>
  </si>
  <si>
    <t>Sunumlar, eğitim materyalleri, projeksiyon ve bilgisayar kullanımı.</t>
  </si>
  <si>
    <t>Elektrik tüketimi, baskı malzemesi tüketimi.</t>
  </si>
  <si>
    <t>CO₂ salımı, ofis atığı artışı.</t>
  </si>
  <si>
    <t>Dijital sunum kullanımı, basılı eğitim notlarının azaltılması.</t>
  </si>
  <si>
    <t>Sunumlar ayda 1 dijital olarak yapılmaktadır.</t>
  </si>
  <si>
    <t>Süreç geliştirme için yapılan fabrika içi ölçüm ve gözlemler (ışık, klima, üretim hatları)</t>
  </si>
  <si>
    <t>Uzun süreli gözlem ve ölçüm çalışmaları sırasında elektrikli ekipmanlar ve aydınlatmalar kullanılır.</t>
  </si>
  <si>
    <t>CO₂ salımı ve enerji israfı.</t>
  </si>
  <si>
    <t>Gözlemler sırasında gereksiz cihazların kapatılması</t>
  </si>
  <si>
    <t>Personel dokümantasyonu, özlük dosyaları ve raporlamalarda baskı kullanımı</t>
  </si>
  <si>
    <t>Personel dosyaları, formlar, sözleşmeler ve raporlar için kağıt ve toner kullanımı yapılır.</t>
  </si>
  <si>
    <t>Kağıt tüketimi, toner tüketimi.</t>
  </si>
  <si>
    <t>Atık kağıt artışı, kimyasal toner atığı, doğal kaynak tüketimi.</t>
  </si>
  <si>
    <t>Dökümanlar ilgili süre için arşivlenmekte ve arşiv süresini tamamlayan dosyalar ilgili talimata uygun olarak imha edilmektedir.</t>
  </si>
  <si>
    <t>İş görüşmeleri ve saha ziyaretleri için araç kullanımı</t>
  </si>
  <si>
    <t>Aday görüşmeleri, saha değerlendirmeleri veya şube ziyaretleri için araçla ulaşım sağlanır.</t>
  </si>
  <si>
    <t>Yakıt tüketimi, egzoz gazları.</t>
  </si>
  <si>
    <t>CO₂ salımı, hava kirliliği.</t>
  </si>
  <si>
    <t>Online mülakatların artırılması, toplu ziyaret planları.</t>
  </si>
  <si>
    <t>Mali İşler</t>
  </si>
  <si>
    <t>Fatura, dekont, irsaliye, sözleşme ve muhasebe evraklarının basımı</t>
  </si>
  <si>
    <t>Mali işler departmanı yüksek miktarda kağıt ve toner kullanarak çıktı alır.</t>
  </si>
  <si>
    <t>Kâğıt atığı artışı, toner kimyasalı kaynaklı çevre yükü, doğal kaynak tüketimi.</t>
  </si>
  <si>
    <t>E-fatura, e-arşiv, e-defter süreçlerinin artırılması, gereksiz çıktı alınmaması.</t>
  </si>
  <si>
    <t>Finans ve İdari İşler Müdürü
Muhasebe Müdürü</t>
  </si>
  <si>
    <t>Arşivleme faaliyetlerinde kullanılan klasör, ambalaj, kutu ve depolama malzemeleri</t>
  </si>
  <si>
    <t>Fiziksel arşiv dosyaları için çok sayıda klasör, naylon poşet, kutu ve ambalaj malzemesi kullanılır.</t>
  </si>
  <si>
    <t>Ambalaj ve ofis malzemesi tüketimi.</t>
  </si>
  <si>
    <t>Atık oluşumu, geri dönüşüm ihtiyacı, plastik tüketimi artışı.</t>
  </si>
  <si>
    <t>Yıllık arşiv temizliği, gereksiz dosya kullanımının azaltılması. Kullanılabilecek uygulamalar için dijital arşiv kullanımı.</t>
  </si>
  <si>
    <t>Sevkiyat araçlarının kullanımı (kamyon, panelvan, tır)</t>
  </si>
  <si>
    <t>Lojistik</t>
  </si>
  <si>
    <t>Ürünlerin taşınması için lojistik araçları kullanılır; uzun mesafelerde yakıt tüketimi yüksektir.</t>
  </si>
  <si>
    <t>Yakıt tüketimi ve egzoz emisyonu.</t>
  </si>
  <si>
    <t>CO₂ salımı, hava kirliliği, iklim değişikliğine katkı.</t>
  </si>
  <si>
    <t>Rota optimizasyonu, bakımlı araç kullanımı, yük konsolidasyonu.</t>
  </si>
  <si>
    <t>Lojistik Müdürü</t>
  </si>
  <si>
    <t>Araç bakımları düzenli olarak yapıldığı kontrol edilmekte, rota optimizasyonuna göre Lojistik süreçleri yürütülmektedir. Yük konsolidasyonu düzeni takip edilmektedir.</t>
  </si>
  <si>
    <t>Forklift ve transpalet kullanımı</t>
  </si>
  <si>
    <t>Depoda yükleme-boşaltma işlemleri yapılır; elektrikli veya dizel forkliftler çalışır.</t>
  </si>
  <si>
    <t>Enerji tüketimi (elektrikli forklift).</t>
  </si>
  <si>
    <t>Enerji tüketimi, gürültü oluşumu.</t>
  </si>
  <si>
    <t>Elektrikli forklift tercih edilmesi, forklift bakım planı.</t>
  </si>
  <si>
    <t>Lojistik Müdürü
Tesisler ve Bakım Müdürü</t>
  </si>
  <si>
    <t>Firma bünyesine elektrikli ve şarjlı forklift alınmış ve işlemler bu forkliftler ile yürütülmekte, düzenli bakımları yapılmaktadır.</t>
  </si>
  <si>
    <t>Nakliye planlamalarında hatalı sevkiyattan kaynaklı ek taşıma süreçleri</t>
  </si>
  <si>
    <t>Hatalı veya eksik sevkiyatlar tekrar teslimat gerektirir.</t>
  </si>
  <si>
    <t>Ek yakıt tüketimi, ek ambalaj atığı.</t>
  </si>
  <si>
    <t>CO₂ artışı, gereksiz kaynak tüketimi.</t>
  </si>
  <si>
    <t>Doğru sevkiyat kontrol listeleri, barkod sistemi, kalite kontrol noktaları.</t>
  </si>
  <si>
    <t>Sevkiyat kontrolleri Terminaller ile yapılmakta ve eksik ürün olması durumunda sevkiyat durdurulmaktadır.</t>
  </si>
  <si>
    <t>Depodaki ekipmanların (bilgisayar, tablet, el terminalleri) enerji tüketimi</t>
  </si>
  <si>
    <t>Ürün giriş-çıkış takibi için dijital cihazlar sürekli kullanılır.</t>
  </si>
  <si>
    <t>Elektrik tüketimi.</t>
  </si>
  <si>
    <t>Enerji tüketimi ve buna bağlı CO₂ salımı.</t>
  </si>
  <si>
    <t>Enerji tasarruf modlarının kullanılması, otomatik kapanma özellikleri.</t>
  </si>
  <si>
    <t>Faaliyet planına göre işlemler devam etmektedir.</t>
  </si>
  <si>
    <t>Planlama</t>
  </si>
  <si>
    <t>Üretim ve sevkiyat planlaması sırasında bilgisayar ve yazılım kullanımı</t>
  </si>
  <si>
    <t>Planlama, ERP sistemleri ve bilgisayarlar üzerinden yoğun çalışmalar yürütür; uzun süre enerji tüketimi olur.</t>
  </si>
  <si>
    <t>CO₂ salımı, enerji kaynaklarının tükenmesi.</t>
  </si>
  <si>
    <t>Bilgisayarların boştayken kapatılması, LED aydınlatma.</t>
  </si>
  <si>
    <t>Planlama Müdürü</t>
  </si>
  <si>
    <t>Ortak ofis içerisinde LED aydınlatma kullanılmakta, ayrıca bilgisayarlar boşta olduğu zaman kapalı tutulmakta.</t>
  </si>
  <si>
    <t>Planlama raporları, çizelgeler ve talimatlar için baskı alınması</t>
  </si>
  <si>
    <t>Günlük üretim planları, iş emirleri için kağıt kullanılır.</t>
  </si>
  <si>
    <t>Kağıt tüketimi ve toner kullanımı.</t>
  </si>
  <si>
    <t>Kâğıt atığı artışı, doğal kaynak tüketimi.</t>
  </si>
  <si>
    <t>E-çizelgeler ile beraber çift taraflı baskı kullanılmalı. Alınan çüıktılar form boşluklarına göre düzenlenmelidir.</t>
  </si>
  <si>
    <t>Faaliyet planına göre aksiyon devam etmekte.</t>
  </si>
  <si>
    <t>Hatalı planlama nedeniyle oluşan ekstra üretim, hurda ve yeniden işlememeler</t>
  </si>
  <si>
    <t>Yanlış termin, kapasite veya malzeme planı; gereksiz üretime, fazla enerji tüketimine ve atık malzemeye yol açabilir.</t>
  </si>
  <si>
    <t>Dolaylı enerji tüketimi, atık oluşumu.</t>
  </si>
  <si>
    <t>Ham madde israfı, enerji tüketimi, hurda artışı.</t>
  </si>
  <si>
    <t>Doğru kapasite planlaması, iş emri doğrulama, MRP iyileştirmesi, kontrol mekanizmaları.</t>
  </si>
  <si>
    <t>Kapasite planlaması ve üretim planlama her hafta gözden geçirilerek paylaşılmaktadır.</t>
  </si>
  <si>
    <t>Tasarım</t>
  </si>
  <si>
    <t>Bilgisayar, grafik tasarım programları ve render işlemlerinin yoğun kullanımı</t>
  </si>
  <si>
    <t>Tasarım ekibi yüksek performanslı bilgisayarlarla uzun süre çalışır; render süreçleri yüksek enerji tüketir.</t>
  </si>
  <si>
    <t>CO₂ salımı artışı, enerji kaynaklarının tükenmesi.</t>
  </si>
  <si>
    <t>Enerji tasarrufu modları ile beraber render süreleri optimize edilmelidir.</t>
  </si>
  <si>
    <t>Tasarım Yöneticisi</t>
  </si>
  <si>
    <t>Bilgisayarlar enerji tasarrufu modunda kullanılmakta ve yapay zeka desteği sayesinde render süreleri kısalmaktadır.</t>
  </si>
  <si>
    <t>Renk kartelaları, kumaş ve malzeme numuneleri kullanımı</t>
  </si>
  <si>
    <t>Ürün tasarımlarında çok sayıda küçük malzeme numunesi kullanılır; bazen atık oluşur.</t>
  </si>
  <si>
    <t>Tekstil, plastik ve küçük ambalaj atıkları.</t>
  </si>
  <si>
    <t>Geri dönüşmeyen atık artışı.</t>
  </si>
  <si>
    <t>Numune israfını azaltmak, geri dönüşüm kutularını aktif kullanmak.</t>
  </si>
  <si>
    <t>Kartela boyutları minimum boyutta tasarlanmıştır, geri dönüşüm kutuları aktif olarak kullanılmaktadır.</t>
  </si>
  <si>
    <t>Görsel dosyaların depolanması ve yedeklenmesi için büyük veri saklama ihtiyacı</t>
  </si>
  <si>
    <t>Görsel Düzenleme</t>
  </si>
  <si>
    <t>Yüksek çözünürlüklü fotoğraf, video ve grafik dosyaları çok fazla depolama ve sunucu kullanımı gerektirir.</t>
  </si>
  <si>
    <t>Dolaylı enerji tüketimi (sunucu/saklama sistemleri).</t>
  </si>
  <si>
    <t>Karbon ayak izi artışı.</t>
  </si>
  <si>
    <t>Dosya optimizasyonu, çöp dosyaların temizlenmesi, bulut depolama verimliliği.</t>
  </si>
  <si>
    <t>Görsel Düzenleme Yöneticisi</t>
  </si>
  <si>
    <t>Çöp dosyalar düzenli olarak temizlenmekta, Dosyalar optimize edilerek Bulut deolama alanı verimli kullanılmakta.</t>
  </si>
  <si>
    <t xml:space="preserve">Görsel prodüksiyon sırasında kullanılan ambalajlar, kutular </t>
  </si>
  <si>
    <t>Kamera, ışık veya dekor taşınırken kullanılan ambalaj malzemeleri zamanla atık oluşturabilir.</t>
  </si>
  <si>
    <t>Plastik, karton ve koruyucu malzeme atıkları.</t>
  </si>
  <si>
    <t>Atık artışı, geri dönüşmeyen plastik atık yükü.</t>
  </si>
  <si>
    <t>Abalajlar alandan toplanarak ilgili geri dönüşüm kutularına atılmalı ve lisanslı firmalara teslimi sağlanmalıdır, paketleme miktarları minimume düşürülmelidir.</t>
  </si>
  <si>
    <t>Faaliyet planına uyum düzenli olarak tekrar etmekte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</si>
</sst>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charset val="162"/>
      <scheme val="minor"/>
    </font>
    <font>
      <sz val="10"/>
      <name val="Arial Tur"/>
      <charset val="162"/>
    </font>
    <font>
      <sz val="11"/>
      <name val="Calibri"/>
      <family val="2"/>
      <charset val="162"/>
      <scheme val="minor"/>
    </font>
    <font>
      <b/>
      <sz val="11"/>
      <name val="Calibri"/>
      <family val="2"/>
      <charset val="162"/>
      <scheme val="minor"/>
    </font>
    <font>
      <b/>
      <sz val="48"/>
      <color theme="1"/>
      <name val="Calibri"/>
      <family val="2"/>
      <charset val="162"/>
      <scheme val="minor"/>
    </font>
    <font>
      <sz val="14"/>
      <color theme="1"/>
      <name val="Calibri"/>
      <family val="2"/>
      <charset val="162"/>
      <scheme val="minor"/>
    </font>
    <font>
      <b/>
      <sz val="14"/>
      <color theme="1"/>
      <name val="Calibri"/>
      <family val="2"/>
      <charset val="162"/>
      <scheme val="minor"/>
    </font>
    <font>
      <b/>
      <sz val="12"/>
      <name val="Calibri"/>
      <family val="2"/>
      <charset val="162"/>
      <scheme val="minor"/>
    </font>
    <font>
      <sz val="12"/>
      <name val="Calibri"/>
      <family val="2"/>
      <charset val="162"/>
      <scheme val="minor"/>
    </font>
    <font>
      <b/>
      <sz val="10"/>
      <name val="Arial"/>
      <family val="2"/>
      <charset val="162"/>
    </font>
    <font>
      <b/>
      <sz val="10"/>
      <color indexed="9"/>
      <name val="Arial"/>
      <family val="2"/>
      <charset val="162"/>
    </font>
    <font>
      <sz val="10"/>
      <name val="Arial"/>
      <family val="2"/>
      <charset val="162"/>
    </font>
    <font>
      <b/>
      <sz val="11"/>
      <color theme="1"/>
      <name val="Calibri"/>
      <family val="2"/>
      <charset val="162"/>
      <scheme val="minor"/>
    </font>
    <font>
      <sz val="11"/>
      <color rgb="FFC00000"/>
      <name val="Calibri"/>
      <family val="2"/>
      <charset val="162"/>
      <scheme val="minor"/>
    </font>
    <font>
      <b/>
      <sz val="11"/>
      <color rgb="FFC00000"/>
      <name val="Calibri"/>
      <family val="2"/>
      <charset val="162"/>
      <scheme val="minor"/>
    </font>
    <font>
      <sz val="11"/>
      <color rgb="FFFF0000"/>
      <name val="Calibri"/>
      <family val="2"/>
      <charset val="162"/>
      <scheme val="minor"/>
    </font>
  </fonts>
  <fills count="6">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indexed="5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 fillId="0" borderId="0"/>
  </cellStyleXfs>
  <cellXfs count="128">
    <xf numFmtId="0" fontId="0" fillId="0" borderId="0" xfId="0"/>
    <xf numFmtId="0" fontId="2" fillId="3"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3" borderId="1" xfId="0" applyFont="1" applyFill="1" applyBorder="1" applyAlignment="1">
      <alignment horizontal="center" vertical="center"/>
    </xf>
    <xf numFmtId="0" fontId="0" fillId="0" borderId="1" xfId="0" applyFont="1" applyFill="1" applyBorder="1" applyAlignment="1">
      <alignment horizontal="center" vertical="center"/>
    </xf>
    <xf numFmtId="0" fontId="5" fillId="0" borderId="1" xfId="0" applyFont="1" applyBorder="1" applyAlignment="1">
      <alignment horizontal="center" vertical="center"/>
    </xf>
    <xf numFmtId="0" fontId="0" fillId="0" borderId="0" xfId="0" applyFont="1"/>
    <xf numFmtId="14" fontId="5"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0" fontId="0" fillId="0" borderId="0" xfId="0" applyFont="1" applyAlignment="1">
      <alignment horizontal="center" vertical="center"/>
    </xf>
    <xf numFmtId="0" fontId="7" fillId="4" borderId="1" xfId="0" applyFont="1" applyFill="1" applyBorder="1" applyAlignment="1">
      <alignment horizontal="left" vertical="center" wrapText="1"/>
    </xf>
    <xf numFmtId="0" fontId="8" fillId="0" borderId="1" xfId="0" applyFont="1" applyBorder="1" applyAlignment="1">
      <alignment horizontal="left" vertical="center" wrapText="1"/>
    </xf>
    <xf numFmtId="14" fontId="8" fillId="0" borderId="1" xfId="0" applyNumberFormat="1" applyFont="1" applyBorder="1" applyAlignment="1">
      <alignment horizontal="left" vertical="center" wrapText="1"/>
    </xf>
    <xf numFmtId="0" fontId="0" fillId="3" borderId="0" xfId="0" applyFont="1" applyFill="1"/>
    <xf numFmtId="0" fontId="3" fillId="2" borderId="1" xfId="1" applyFont="1" applyFill="1" applyBorder="1" applyAlignment="1" applyProtection="1">
      <alignment horizontal="center" vertical="center" wrapText="1"/>
      <protection locked="0"/>
    </xf>
    <xf numFmtId="0" fontId="0" fillId="0"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alignment horizontal="center" vertical="center"/>
    </xf>
    <xf numFmtId="0" fontId="0" fillId="3" borderId="1" xfId="0" applyFont="1" applyFill="1" applyBorder="1" applyAlignment="1">
      <alignment horizontal="center" vertical="center"/>
    </xf>
    <xf numFmtId="0" fontId="0" fillId="3" borderId="1" xfId="0" applyFont="1" applyFill="1" applyBorder="1"/>
    <xf numFmtId="0" fontId="0" fillId="0" borderId="1" xfId="0" applyFont="1" applyBorder="1"/>
    <xf numFmtId="0" fontId="0" fillId="0" borderId="1" xfId="0" applyFont="1" applyBorder="1" applyAlignment="1">
      <alignment horizontal="center" vertical="center" wrapText="1"/>
    </xf>
    <xf numFmtId="0" fontId="0" fillId="0" borderId="1" xfId="0" applyFont="1" applyFill="1" applyBorder="1" applyAlignment="1">
      <alignment horizontal="center" vertical="center"/>
    </xf>
    <xf numFmtId="0" fontId="0" fillId="0" borderId="15" xfId="0"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10" fillId="5" borderId="15" xfId="0" applyFont="1" applyFill="1" applyBorder="1" applyAlignment="1">
      <alignment horizontal="center"/>
    </xf>
    <xf numFmtId="0" fontId="10" fillId="5" borderId="19" xfId="0" applyFont="1" applyFill="1" applyBorder="1" applyAlignment="1">
      <alignment horizontal="center"/>
    </xf>
    <xf numFmtId="0" fontId="0" fillId="0" borderId="19" xfId="0" applyBorder="1" applyAlignment="1">
      <alignment horizontal="left" wrapText="1"/>
    </xf>
    <xf numFmtId="0" fontId="0" fillId="0" borderId="19" xfId="0" applyBorder="1" applyAlignment="1">
      <alignment horizontal="left" vertical="center" wrapText="1"/>
    </xf>
    <xf numFmtId="0" fontId="0" fillId="0" borderId="20" xfId="0" applyBorder="1" applyAlignment="1">
      <alignment horizontal="left" wrapText="1"/>
    </xf>
    <xf numFmtId="0" fontId="11" fillId="0" borderId="19" xfId="0" applyFont="1" applyBorder="1" applyAlignment="1">
      <alignment horizontal="left" wrapText="1"/>
    </xf>
    <xf numFmtId="0" fontId="11" fillId="0" borderId="19" xfId="0" applyFont="1" applyBorder="1" applyAlignment="1">
      <alignment horizontal="left" vertical="center" wrapText="1"/>
    </xf>
    <xf numFmtId="0" fontId="11" fillId="0" borderId="20" xfId="0" applyFont="1" applyBorder="1" applyAlignment="1">
      <alignment horizontal="left" wrapText="1"/>
    </xf>
    <xf numFmtId="0" fontId="11" fillId="0" borderId="19" xfId="0" applyFont="1" applyBorder="1"/>
    <xf numFmtId="0" fontId="0" fillId="0" borderId="16" xfId="0" applyFill="1" applyBorder="1" applyAlignment="1">
      <alignment horizontal="center"/>
    </xf>
    <xf numFmtId="0" fontId="10" fillId="5" borderId="15" xfId="0" applyFont="1" applyFill="1" applyBorder="1" applyAlignment="1">
      <alignment horizontal="center" vertical="center"/>
    </xf>
    <xf numFmtId="0" fontId="10" fillId="5" borderId="19" xfId="0" applyFont="1" applyFill="1" applyBorder="1" applyAlignment="1">
      <alignment horizontal="center" vertical="center"/>
    </xf>
    <xf numFmtId="0" fontId="11" fillId="0" borderId="15" xfId="0" applyFont="1" applyBorder="1" applyAlignment="1">
      <alignment horizontal="center" wrapText="1"/>
    </xf>
    <xf numFmtId="0" fontId="11" fillId="0" borderId="19" xfId="0" applyFont="1" applyBorder="1" applyAlignment="1">
      <alignment vertical="center" wrapText="1"/>
    </xf>
    <xf numFmtId="0" fontId="0" fillId="0" borderId="16" xfId="0" applyBorder="1" applyAlignment="1">
      <alignment horizontal="center"/>
    </xf>
    <xf numFmtId="0" fontId="11" fillId="0" borderId="20" xfId="0" applyFont="1" applyBorder="1"/>
    <xf numFmtId="0" fontId="11" fillId="0" borderId="15" xfId="0" applyFont="1" applyBorder="1" applyAlignment="1">
      <alignment horizontal="center" vertical="center" wrapText="1"/>
    </xf>
    <xf numFmtId="0" fontId="0" fillId="0" borderId="1" xfId="0" applyBorder="1" applyAlignment="1">
      <alignment horizontal="center" vertical="center"/>
    </xf>
    <xf numFmtId="0" fontId="0" fillId="0" borderId="17" xfId="0" applyFill="1" applyBorder="1" applyAlignment="1">
      <alignment horizontal="center" vertical="center"/>
    </xf>
    <xf numFmtId="0" fontId="0" fillId="0" borderId="17" xfId="0" applyBorder="1" applyAlignment="1">
      <alignment horizontal="center" vertical="center" wrapText="1"/>
    </xf>
    <xf numFmtId="0" fontId="10" fillId="5" borderId="13" xfId="0" applyFont="1" applyFill="1" applyBorder="1" applyAlignment="1">
      <alignment horizontal="center"/>
    </xf>
    <xf numFmtId="0" fontId="10" fillId="5" borderId="14" xfId="0" applyFont="1" applyFill="1" applyBorder="1" applyAlignment="1">
      <alignment horizontal="center"/>
    </xf>
    <xf numFmtId="0" fontId="10" fillId="5" borderId="14" xfId="0" applyFont="1" applyFill="1" applyBorder="1" applyAlignment="1" applyProtection="1">
      <alignment horizontal="center" wrapText="1" shrinkToFit="1"/>
      <protection locked="0"/>
    </xf>
    <xf numFmtId="0" fontId="0" fillId="3"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0" xfId="0" applyAlignment="1">
      <alignment horizontal="center" vertical="center"/>
    </xf>
    <xf numFmtId="0" fontId="0" fillId="3" borderId="21" xfId="0" applyFont="1" applyFill="1" applyBorder="1" applyAlignment="1">
      <alignment horizontal="center" vertical="center" wrapText="1"/>
    </xf>
    <xf numFmtId="0" fontId="0" fillId="0" borderId="21" xfId="0" applyFont="1" applyFill="1" applyBorder="1" applyAlignment="1">
      <alignment horizontal="center" vertical="center"/>
    </xf>
    <xf numFmtId="0" fontId="0" fillId="0" borderId="21" xfId="0" applyFont="1" applyBorder="1" applyAlignment="1">
      <alignment horizontal="center" vertical="center" wrapText="1"/>
    </xf>
    <xf numFmtId="14" fontId="0" fillId="0" borderId="1" xfId="0" applyNumberFormat="1" applyFont="1" applyBorder="1" applyAlignment="1">
      <alignment horizontal="center" vertical="center" wrapText="1"/>
    </xf>
    <xf numFmtId="0" fontId="0" fillId="0" borderId="0" xfId="0" applyAlignment="1">
      <alignment horizontal="center" vertical="center" wrapText="1"/>
    </xf>
    <xf numFmtId="0" fontId="2" fillId="3" borderId="21" xfId="0" applyFont="1" applyFill="1" applyBorder="1" applyAlignment="1">
      <alignment horizontal="center" vertical="center" wrapText="1"/>
    </xf>
    <xf numFmtId="0" fontId="0" fillId="0" borderId="1" xfId="0" applyBorder="1" applyAlignment="1">
      <alignment horizontal="center" vertical="center" wrapText="1"/>
    </xf>
    <xf numFmtId="14" fontId="0" fillId="0" borderId="1" xfId="0" applyNumberFormat="1" applyFont="1" applyBorder="1" applyAlignment="1">
      <alignment horizontal="center" vertical="center"/>
    </xf>
    <xf numFmtId="0" fontId="0" fillId="0" borderId="1" xfId="0" applyBorder="1" applyAlignment="1">
      <alignment vertical="center"/>
    </xf>
    <xf numFmtId="0" fontId="0" fillId="0" borderId="1" xfId="0" applyFont="1" applyFill="1" applyBorder="1" applyAlignment="1">
      <alignment horizontal="center" vertical="center"/>
    </xf>
    <xf numFmtId="0" fontId="14" fillId="0" borderId="1" xfId="0" quotePrefix="1" applyFont="1" applyFill="1" applyBorder="1" applyAlignment="1">
      <alignment horizontal="center" vertical="center"/>
    </xf>
    <xf numFmtId="0" fontId="12" fillId="0" borderId="1" xfId="0" quotePrefix="1" applyFont="1" applyFill="1" applyBorder="1" applyAlignment="1">
      <alignment horizontal="center" vertical="center"/>
    </xf>
    <xf numFmtId="0" fontId="12" fillId="0" borderId="21" xfId="0" quotePrefix="1" applyFont="1" applyFill="1" applyBorder="1" applyAlignment="1">
      <alignment horizontal="center" vertical="center"/>
    </xf>
    <xf numFmtId="0" fontId="13" fillId="3"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Fill="1" applyBorder="1" applyAlignment="1">
      <alignment horizontal="center" vertical="center"/>
    </xf>
    <xf numFmtId="0" fontId="12" fillId="2" borderId="1" xfId="1" applyFont="1" applyFill="1" applyBorder="1" applyAlignment="1" applyProtection="1">
      <alignment horizontal="center" vertical="center" wrapText="1"/>
      <protection locked="0"/>
    </xf>
    <xf numFmtId="0" fontId="12"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xf numFmtId="0" fontId="0" fillId="0" borderId="0" xfId="0" applyFont="1" applyBorder="1" applyAlignment="1">
      <alignment horizontal="center" vertical="center"/>
    </xf>
    <xf numFmtId="0" fontId="12" fillId="0" borderId="1" xfId="0" quotePrefix="1" applyFont="1" applyFill="1" applyBorder="1" applyAlignment="1">
      <alignment horizontal="center" vertical="center" wrapText="1"/>
    </xf>
    <xf numFmtId="0" fontId="12" fillId="0" borderId="1" xfId="0" applyFont="1" applyBorder="1" applyAlignment="1">
      <alignment horizontal="center" vertical="center" wrapText="1"/>
    </xf>
    <xf numFmtId="0" fontId="0" fillId="0" borderId="1" xfId="0" applyFont="1" applyBorder="1" applyAlignment="1">
      <alignment wrapText="1"/>
    </xf>
    <xf numFmtId="0" fontId="0" fillId="0" borderId="0" xfId="0" applyFont="1" applyAlignment="1">
      <alignment wrapText="1"/>
    </xf>
    <xf numFmtId="0" fontId="0" fillId="0" borderId="0" xfId="0" applyFont="1" applyAlignment="1">
      <alignment horizontal="center" vertical="center" wrapText="1"/>
    </xf>
    <xf numFmtId="0" fontId="0" fillId="0" borderId="1" xfId="0" applyFont="1" applyBorder="1" applyAlignment="1">
      <alignment horizontal="center" vertical="center"/>
    </xf>
    <xf numFmtId="0" fontId="0" fillId="3" borderId="1" xfId="0" applyFont="1" applyFill="1" applyBorder="1" applyAlignment="1">
      <alignment horizontal="center" vertical="center"/>
    </xf>
    <xf numFmtId="0" fontId="0" fillId="0"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0" fillId="0" borderId="1" xfId="0" applyFont="1" applyBorder="1" applyAlignment="1">
      <alignment horizontal="center" vertical="center"/>
    </xf>
    <xf numFmtId="0" fontId="0" fillId="0" borderId="1" xfId="0" applyFont="1" applyFill="1" applyBorder="1" applyAlignment="1">
      <alignment horizontal="center" vertical="center"/>
    </xf>
    <xf numFmtId="0" fontId="0" fillId="0" borderId="22" xfId="0" applyFont="1" applyBorder="1" applyAlignment="1">
      <alignment horizontal="center" vertical="center"/>
    </xf>
    <xf numFmtId="0" fontId="0" fillId="0" borderId="23" xfId="0" applyFont="1" applyBorder="1" applyAlignment="1">
      <alignment horizontal="center" vertical="center"/>
    </xf>
    <xf numFmtId="0" fontId="0" fillId="0" borderId="21" xfId="0" applyFont="1" applyBorder="1" applyAlignment="1">
      <alignment horizontal="center" vertical="center"/>
    </xf>
    <xf numFmtId="0" fontId="0" fillId="0" borderId="22" xfId="0" applyFont="1" applyBorder="1" applyAlignment="1">
      <alignment horizontal="center" vertical="center" wrapText="1"/>
    </xf>
    <xf numFmtId="0" fontId="0" fillId="0" borderId="23" xfId="0" applyFont="1" applyBorder="1" applyAlignment="1">
      <alignment horizontal="center" vertical="center" wrapText="1"/>
    </xf>
    <xf numFmtId="0" fontId="0" fillId="0" borderId="21" xfId="0" applyFont="1" applyBorder="1" applyAlignment="1">
      <alignment horizontal="center" vertical="center" wrapTex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3" fillId="2" borderId="1" xfId="1" applyFont="1" applyFill="1" applyBorder="1" applyAlignment="1" applyProtection="1">
      <alignment horizontal="center" vertical="center" wrapText="1"/>
      <protection locked="0"/>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4" fillId="0" borderId="7" xfId="0" applyFont="1" applyBorder="1" applyAlignment="1">
      <alignment horizontal="center" vertical="center"/>
    </xf>
    <xf numFmtId="0" fontId="4" fillId="0" borderId="0" xfId="0" applyFont="1" applyBorder="1" applyAlignment="1">
      <alignment horizontal="center" vertical="center"/>
    </xf>
    <xf numFmtId="0" fontId="4" fillId="0" borderId="8" xfId="0" applyFont="1" applyBorder="1" applyAlignment="1">
      <alignment horizontal="center" vertical="center"/>
    </xf>
    <xf numFmtId="0" fontId="0" fillId="0" borderId="4" xfId="0" applyFont="1" applyBorder="1" applyAlignment="1">
      <alignment horizontal="center"/>
    </xf>
    <xf numFmtId="0" fontId="0" fillId="0" borderId="5"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xf numFmtId="0" fontId="0" fillId="0" borderId="0" xfId="0" applyFont="1" applyBorder="1" applyAlignment="1">
      <alignment horizontal="center"/>
    </xf>
    <xf numFmtId="0" fontId="0" fillId="0" borderId="8" xfId="0" applyFont="1" applyBorder="1" applyAlignment="1">
      <alignment horizontal="center"/>
    </xf>
    <xf numFmtId="0" fontId="0" fillId="0" borderId="9" xfId="0" applyFont="1" applyBorder="1" applyAlignment="1">
      <alignment horizontal="center"/>
    </xf>
    <xf numFmtId="0" fontId="0" fillId="0" borderId="10" xfId="0" applyFont="1" applyBorder="1" applyAlignment="1">
      <alignment horizontal="center"/>
    </xf>
    <xf numFmtId="0" fontId="0" fillId="0" borderId="11" xfId="0" applyFont="1" applyBorder="1" applyAlignment="1">
      <alignment horizontal="center"/>
    </xf>
    <xf numFmtId="0" fontId="0" fillId="3" borderId="1" xfId="0" applyFont="1" applyFill="1" applyBorder="1" applyAlignment="1">
      <alignment horizontal="center" vertical="center"/>
    </xf>
    <xf numFmtId="0" fontId="0" fillId="3" borderId="22" xfId="0" applyFont="1" applyFill="1" applyBorder="1" applyAlignment="1">
      <alignment horizontal="center" vertical="center"/>
    </xf>
    <xf numFmtId="0" fontId="0" fillId="3" borderId="21" xfId="0" applyFont="1" applyFill="1" applyBorder="1" applyAlignment="1">
      <alignment horizontal="center" vertical="center"/>
    </xf>
    <xf numFmtId="0" fontId="0" fillId="0" borderId="22" xfId="0" applyFont="1" applyFill="1" applyBorder="1" applyAlignment="1">
      <alignment horizontal="center" vertical="center" wrapText="1"/>
    </xf>
    <xf numFmtId="0" fontId="0" fillId="0" borderId="21" xfId="0" applyFont="1" applyFill="1" applyBorder="1" applyAlignment="1">
      <alignment horizontal="center" vertical="center" wrapText="1"/>
    </xf>
    <xf numFmtId="0" fontId="9" fillId="0" borderId="13" xfId="0" applyFont="1" applyBorder="1" applyAlignment="1">
      <alignment horizontal="center"/>
    </xf>
    <xf numFmtId="0" fontId="9" fillId="0" borderId="18" xfId="0" applyFont="1" applyBorder="1" applyAlignment="1">
      <alignment horizontal="center"/>
    </xf>
    <xf numFmtId="0" fontId="10" fillId="5" borderId="14" xfId="0" applyFont="1" applyFill="1" applyBorder="1" applyAlignment="1">
      <alignment horizontal="center"/>
    </xf>
    <xf numFmtId="0" fontId="10" fillId="5" borderId="18" xfId="0" applyFont="1" applyFill="1" applyBorder="1" applyAlignment="1">
      <alignment horizontal="center"/>
    </xf>
    <xf numFmtId="0" fontId="11" fillId="0" borderId="1" xfId="0" applyFont="1" applyBorder="1" applyAlignment="1">
      <alignment horizontal="center" wrapText="1"/>
    </xf>
    <xf numFmtId="0" fontId="11" fillId="0" borderId="19" xfId="0" applyFont="1" applyBorder="1" applyAlignment="1">
      <alignment horizontal="center" wrapText="1"/>
    </xf>
    <xf numFmtId="0" fontId="9" fillId="0" borderId="12" xfId="0" applyFont="1" applyBorder="1" applyAlignment="1">
      <alignment horizontal="center"/>
    </xf>
    <xf numFmtId="0" fontId="9" fillId="0" borderId="0" xfId="0" applyFont="1" applyBorder="1" applyAlignment="1">
      <alignment horizontal="center"/>
    </xf>
    <xf numFmtId="0" fontId="11" fillId="0" borderId="17" xfId="0" applyFont="1" applyBorder="1" applyAlignment="1">
      <alignment horizontal="center" wrapText="1"/>
    </xf>
    <xf numFmtId="0" fontId="11" fillId="0" borderId="20" xfId="0" applyFont="1" applyBorder="1" applyAlignment="1">
      <alignment horizontal="center" wrapText="1"/>
    </xf>
    <xf numFmtId="0" fontId="0" fillId="3" borderId="23" xfId="0" applyFont="1" applyFill="1" applyBorder="1" applyAlignment="1">
      <alignment horizontal="center" vertical="center"/>
    </xf>
    <xf numFmtId="0" fontId="7" fillId="4" borderId="21" xfId="0" applyFont="1" applyFill="1" applyBorder="1" applyAlignment="1">
      <alignment horizontal="left" vertical="center" wrapText="1"/>
    </xf>
    <xf numFmtId="0" fontId="0" fillId="0" borderId="22" xfId="0" applyFont="1" applyFill="1" applyBorder="1" applyAlignment="1">
      <alignment horizontal="center" vertical="center"/>
    </xf>
    <xf numFmtId="0" fontId="0" fillId="0" borderId="21" xfId="0" applyFont="1" applyFill="1" applyBorder="1" applyAlignment="1">
      <alignment horizontal="center" vertical="center"/>
    </xf>
    <xf numFmtId="0" fontId="0" fillId="0" borderId="23" xfId="0" applyFont="1" applyFill="1" applyBorder="1" applyAlignment="1">
      <alignment horizontal="center" vertical="center"/>
    </xf>
  </cellXfs>
  <cellStyles count="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778283</xdr:colOff>
      <xdr:row>0</xdr:row>
      <xdr:rowOff>0</xdr:rowOff>
    </xdr:from>
    <xdr:to>
      <xdr:col>2</xdr:col>
      <xdr:colOff>1070618</xdr:colOff>
      <xdr:row>4</xdr:row>
      <xdr:rowOff>226694</xdr:rowOff>
    </xdr:to>
    <xdr:pic>
      <xdr:nvPicPr>
        <xdr:cNvPr id="3" name="Resim 2">
          <a:extLst>
            <a:ext uri="{FF2B5EF4-FFF2-40B4-BE49-F238E27FC236}">
              <a16:creationId xmlns:a16="http://schemas.microsoft.com/office/drawing/2014/main" id="{B398C3AF-F231-6F0A-F4C3-890E95B335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493093" y="-714810"/>
          <a:ext cx="1176423" cy="2606044"/>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97"/>
  <sheetViews>
    <sheetView tabSelected="1" topLeftCell="A7" zoomScale="55" zoomScaleNormal="55" zoomScaleSheetLayoutView="55" workbookViewId="0">
      <selection activeCell="E14" sqref="E14"/>
    </sheetView>
  </sheetViews>
  <sheetFormatPr defaultColWidth="9.109375" defaultRowHeight="14.4" x14ac:dyDescent="0.3"/>
  <cols>
    <col min="1" max="1" width="17.6640625" style="7" customWidth="1"/>
    <col min="2" max="2" width="16.21875" style="7" customWidth="1"/>
    <col min="3" max="3" width="23.44140625" style="7" customWidth="1"/>
    <col min="4" max="4" width="27.109375" style="7" customWidth="1"/>
    <col min="5" max="5" width="29.88671875" style="7" customWidth="1"/>
    <col min="6" max="6" width="35.44140625" style="7" customWidth="1"/>
    <col min="7" max="11" width="18.6640625" style="7" customWidth="1"/>
    <col min="12" max="12" width="39.33203125" style="7" customWidth="1"/>
    <col min="13" max="13" width="17.6640625" style="10" customWidth="1"/>
    <col min="14" max="14" width="17.6640625" style="7" customWidth="1"/>
    <col min="15" max="15" width="34.33203125" style="7" customWidth="1"/>
    <col min="16" max="19" width="17.6640625" style="7" customWidth="1"/>
    <col min="20" max="20" width="18.88671875" style="7" bestFit="1" customWidth="1"/>
    <col min="21" max="21" width="27.6640625" style="7" customWidth="1"/>
    <col min="22" max="22" width="18.77734375" style="7" customWidth="1"/>
    <col min="23" max="23" width="19.6640625" style="7" customWidth="1"/>
    <col min="24" max="24" width="48.109375" style="7" customWidth="1"/>
    <col min="25" max="25" width="9.109375" style="7"/>
    <col min="26" max="34" width="19" style="7" customWidth="1"/>
    <col min="35" max="16384" width="9.109375" style="7"/>
  </cols>
  <sheetData>
    <row r="1" spans="1:34" ht="18" customHeight="1" x14ac:dyDescent="0.3">
      <c r="A1" s="99"/>
      <c r="B1" s="100"/>
      <c r="C1" s="101"/>
      <c r="D1" s="96" t="s">
        <v>151</v>
      </c>
      <c r="E1" s="97"/>
      <c r="F1" s="97"/>
      <c r="G1" s="97"/>
      <c r="H1" s="97"/>
      <c r="I1" s="97"/>
      <c r="J1" s="97"/>
      <c r="K1" s="97"/>
      <c r="L1" s="97"/>
      <c r="M1" s="97"/>
      <c r="N1" s="97"/>
      <c r="O1" s="97"/>
      <c r="P1" s="97"/>
      <c r="Q1" s="97"/>
      <c r="R1" s="97"/>
      <c r="S1" s="97"/>
      <c r="T1" s="97"/>
      <c r="U1" s="97"/>
      <c r="V1" s="97"/>
      <c r="W1" s="97"/>
      <c r="X1" s="97"/>
      <c r="Y1" s="97"/>
      <c r="Z1" s="97"/>
      <c r="AA1" s="97"/>
      <c r="AB1" s="97"/>
      <c r="AC1" s="97"/>
      <c r="AD1" s="97"/>
      <c r="AE1" s="98"/>
      <c r="AF1" s="91" t="s">
        <v>36</v>
      </c>
      <c r="AG1" s="92"/>
      <c r="AH1" s="6" t="s">
        <v>40</v>
      </c>
    </row>
    <row r="2" spans="1:34" ht="18" customHeight="1" x14ac:dyDescent="0.3">
      <c r="A2" s="102"/>
      <c r="B2" s="103"/>
      <c r="C2" s="104"/>
      <c r="D2" s="96"/>
      <c r="E2" s="97"/>
      <c r="F2" s="97"/>
      <c r="G2" s="97"/>
      <c r="H2" s="97"/>
      <c r="I2" s="97"/>
      <c r="J2" s="97"/>
      <c r="K2" s="97"/>
      <c r="L2" s="97"/>
      <c r="M2" s="97"/>
      <c r="N2" s="97"/>
      <c r="O2" s="97"/>
      <c r="P2" s="97"/>
      <c r="Q2" s="97"/>
      <c r="R2" s="97"/>
      <c r="S2" s="97"/>
      <c r="T2" s="97"/>
      <c r="U2" s="97"/>
      <c r="V2" s="97"/>
      <c r="W2" s="97"/>
      <c r="X2" s="97"/>
      <c r="Y2" s="97"/>
      <c r="Z2" s="97"/>
      <c r="AA2" s="97"/>
      <c r="AB2" s="97"/>
      <c r="AC2" s="97"/>
      <c r="AD2" s="97"/>
      <c r="AE2" s="98"/>
      <c r="AF2" s="91" t="s">
        <v>37</v>
      </c>
      <c r="AG2" s="92"/>
      <c r="AH2" s="8">
        <v>44890</v>
      </c>
    </row>
    <row r="3" spans="1:34" ht="18" customHeight="1" x14ac:dyDescent="0.3">
      <c r="A3" s="102"/>
      <c r="B3" s="103"/>
      <c r="C3" s="104"/>
      <c r="D3" s="96"/>
      <c r="E3" s="97"/>
      <c r="F3" s="97"/>
      <c r="G3" s="97"/>
      <c r="H3" s="97"/>
      <c r="I3" s="97"/>
      <c r="J3" s="97"/>
      <c r="K3" s="97"/>
      <c r="L3" s="97"/>
      <c r="M3" s="97"/>
      <c r="N3" s="97"/>
      <c r="O3" s="97"/>
      <c r="P3" s="97"/>
      <c r="Q3" s="97"/>
      <c r="R3" s="97"/>
      <c r="S3" s="97"/>
      <c r="T3" s="97"/>
      <c r="U3" s="97"/>
      <c r="V3" s="97"/>
      <c r="W3" s="97"/>
      <c r="X3" s="97"/>
      <c r="Y3" s="97"/>
      <c r="Z3" s="97"/>
      <c r="AA3" s="97"/>
      <c r="AB3" s="97"/>
      <c r="AC3" s="97"/>
      <c r="AD3" s="97"/>
      <c r="AE3" s="98"/>
      <c r="AF3" s="91" t="s">
        <v>38</v>
      </c>
      <c r="AG3" s="92"/>
      <c r="AH3" s="6">
        <v>3</v>
      </c>
    </row>
    <row r="4" spans="1:34" ht="18" customHeight="1" x14ac:dyDescent="0.3">
      <c r="A4" s="102"/>
      <c r="B4" s="103"/>
      <c r="C4" s="104"/>
      <c r="D4" s="96"/>
      <c r="E4" s="97"/>
      <c r="F4" s="97"/>
      <c r="G4" s="97"/>
      <c r="H4" s="97"/>
      <c r="I4" s="97"/>
      <c r="J4" s="97"/>
      <c r="K4" s="97"/>
      <c r="L4" s="97"/>
      <c r="M4" s="97"/>
      <c r="N4" s="97"/>
      <c r="O4" s="97"/>
      <c r="P4" s="97"/>
      <c r="Q4" s="97"/>
      <c r="R4" s="97"/>
      <c r="S4" s="97"/>
      <c r="T4" s="97"/>
      <c r="U4" s="97"/>
      <c r="V4" s="97"/>
      <c r="W4" s="97"/>
      <c r="X4" s="97"/>
      <c r="Y4" s="97"/>
      <c r="Z4" s="97"/>
      <c r="AA4" s="97"/>
      <c r="AB4" s="97"/>
      <c r="AC4" s="97"/>
      <c r="AD4" s="97"/>
      <c r="AE4" s="98"/>
      <c r="AF4" s="91" t="s">
        <v>39</v>
      </c>
      <c r="AG4" s="92"/>
      <c r="AH4" s="8">
        <v>45973</v>
      </c>
    </row>
    <row r="5" spans="1:34" ht="18" customHeight="1" x14ac:dyDescent="0.3">
      <c r="A5" s="105"/>
      <c r="B5" s="106"/>
      <c r="C5" s="107"/>
      <c r="D5" s="96"/>
      <c r="E5" s="97"/>
      <c r="F5" s="97"/>
      <c r="G5" s="97"/>
      <c r="H5" s="97"/>
      <c r="I5" s="97"/>
      <c r="J5" s="97"/>
      <c r="K5" s="97"/>
      <c r="L5" s="97"/>
      <c r="M5" s="97"/>
      <c r="N5" s="97"/>
      <c r="O5" s="97"/>
      <c r="P5" s="97"/>
      <c r="Q5" s="97"/>
      <c r="R5" s="97"/>
      <c r="S5" s="97"/>
      <c r="T5" s="97"/>
      <c r="U5" s="97"/>
      <c r="V5" s="97"/>
      <c r="W5" s="97"/>
      <c r="X5" s="97"/>
      <c r="Y5" s="97"/>
      <c r="Z5" s="97"/>
      <c r="AA5" s="97"/>
      <c r="AB5" s="97"/>
      <c r="AC5" s="97"/>
      <c r="AD5" s="97"/>
      <c r="AE5" s="98"/>
      <c r="AF5" s="94" t="s">
        <v>54</v>
      </c>
      <c r="AG5" s="95"/>
      <c r="AH5" s="9">
        <v>45987</v>
      </c>
    </row>
    <row r="6" spans="1:34" s="10" customFormat="1" ht="75.599999999999994" customHeight="1" x14ac:dyDescent="0.3">
      <c r="A6" s="93" t="s">
        <v>1</v>
      </c>
      <c r="B6" s="93" t="s">
        <v>144</v>
      </c>
      <c r="C6" s="93" t="s">
        <v>143</v>
      </c>
      <c r="D6" s="93" t="s">
        <v>22</v>
      </c>
      <c r="E6" s="93" t="s">
        <v>2</v>
      </c>
      <c r="F6" s="93" t="s">
        <v>145</v>
      </c>
      <c r="G6" s="93" t="s">
        <v>6</v>
      </c>
      <c r="H6" s="93"/>
      <c r="I6" s="93"/>
      <c r="J6" s="93"/>
      <c r="K6" s="93"/>
      <c r="L6" s="93" t="s">
        <v>149</v>
      </c>
      <c r="M6" s="93" t="s">
        <v>4</v>
      </c>
      <c r="N6" s="93" t="s">
        <v>5</v>
      </c>
      <c r="O6" s="93" t="s">
        <v>150</v>
      </c>
      <c r="P6" s="93" t="s">
        <v>152</v>
      </c>
      <c r="Q6" s="93"/>
      <c r="R6" s="93"/>
      <c r="S6" s="93"/>
      <c r="T6" s="93"/>
      <c r="U6" s="93" t="s">
        <v>153</v>
      </c>
      <c r="V6" s="93"/>
      <c r="W6" s="93"/>
      <c r="X6" s="93"/>
      <c r="Z6" s="93" t="s">
        <v>154</v>
      </c>
      <c r="AA6" s="93"/>
      <c r="AB6" s="93"/>
      <c r="AC6" s="93"/>
      <c r="AD6" s="93"/>
      <c r="AE6" s="93" t="s">
        <v>155</v>
      </c>
      <c r="AF6" s="93"/>
      <c r="AG6" s="93"/>
      <c r="AH6" s="93"/>
    </row>
    <row r="7" spans="1:34" ht="35.1" customHeight="1" x14ac:dyDescent="0.3">
      <c r="A7" s="93"/>
      <c r="B7" s="93"/>
      <c r="C7" s="93"/>
      <c r="D7" s="93"/>
      <c r="E7" s="93"/>
      <c r="F7" s="93"/>
      <c r="G7" s="15" t="s">
        <v>3</v>
      </c>
      <c r="H7" s="15" t="s">
        <v>7</v>
      </c>
      <c r="I7" s="15" t="s">
        <v>146</v>
      </c>
      <c r="J7" s="15" t="s">
        <v>147</v>
      </c>
      <c r="K7" s="15" t="s">
        <v>148</v>
      </c>
      <c r="L7" s="93"/>
      <c r="M7" s="93"/>
      <c r="N7" s="93"/>
      <c r="O7" s="93"/>
      <c r="P7" s="15" t="s">
        <v>3</v>
      </c>
      <c r="Q7" s="15" t="s">
        <v>7</v>
      </c>
      <c r="R7" s="15" t="s">
        <v>146</v>
      </c>
      <c r="S7" s="15" t="s">
        <v>147</v>
      </c>
      <c r="T7" s="69" t="s">
        <v>148</v>
      </c>
      <c r="U7" s="15" t="s">
        <v>149</v>
      </c>
      <c r="V7" s="15" t="s">
        <v>4</v>
      </c>
      <c r="W7" s="15" t="s">
        <v>5</v>
      </c>
      <c r="X7" s="15" t="s">
        <v>150</v>
      </c>
      <c r="Z7" s="15" t="s">
        <v>3</v>
      </c>
      <c r="AA7" s="15" t="s">
        <v>7</v>
      </c>
      <c r="AB7" s="15" t="s">
        <v>146</v>
      </c>
      <c r="AC7" s="15" t="s">
        <v>147</v>
      </c>
      <c r="AD7" s="15" t="s">
        <v>148</v>
      </c>
      <c r="AE7" s="15" t="s">
        <v>149</v>
      </c>
      <c r="AF7" s="15" t="s">
        <v>4</v>
      </c>
      <c r="AG7" s="15" t="s">
        <v>5</v>
      </c>
      <c r="AH7" s="15" t="s">
        <v>150</v>
      </c>
    </row>
    <row r="8" spans="1:34" s="14" customFormat="1" ht="43.2" x14ac:dyDescent="0.3">
      <c r="A8" s="4">
        <v>1</v>
      </c>
      <c r="B8" s="85" t="s">
        <v>129</v>
      </c>
      <c r="C8" s="108" t="s">
        <v>156</v>
      </c>
      <c r="D8" s="2" t="s">
        <v>200</v>
      </c>
      <c r="E8" s="1" t="s">
        <v>201</v>
      </c>
      <c r="F8" s="2" t="s">
        <v>204</v>
      </c>
      <c r="G8" s="23">
        <v>1</v>
      </c>
      <c r="H8" s="23">
        <v>15</v>
      </c>
      <c r="I8" s="23">
        <v>6</v>
      </c>
      <c r="J8" s="23">
        <f t="shared" ref="J8:J14" si="0">G8*H8*I8</f>
        <v>90</v>
      </c>
      <c r="K8" s="63" t="str">
        <f t="shared" ref="K8:K15" si="1">IF(J8&lt;=20,"Düşük Risk",IF(AND(J8&gt;20,J8&lt;=70),"Olası Risk",IF(AND(J8&gt;70,J8&lt;=200),"Ciddi Risk",IF(AND(J8&gt;200,J8&lt;=400),"Kritik Risk",IF(J8&gt;400,"Kabul Edilemez Risk","Risk Puanı Doğru Tanımlanamamıştır.")))))</f>
        <v>Ciddi Risk</v>
      </c>
      <c r="L8" s="2" t="s">
        <v>202</v>
      </c>
      <c r="M8" s="2" t="s">
        <v>203</v>
      </c>
      <c r="N8" s="22" t="s">
        <v>209</v>
      </c>
      <c r="O8" s="22" t="s">
        <v>239</v>
      </c>
      <c r="P8" s="50">
        <v>0.5</v>
      </c>
      <c r="Q8" s="50">
        <v>15</v>
      </c>
      <c r="R8" s="50">
        <v>6</v>
      </c>
      <c r="S8" s="44">
        <f>P8*Q8*R8</f>
        <v>45</v>
      </c>
      <c r="T8" s="70" t="str">
        <f>IF(S8&lt;=20,"Düşük Risk",IF(AND(S8&gt;20,S8&lt;=70),"Olası Risk",IF(AND(S8&gt;70,S8&lt;=200),"Ciddi Risk",IF(AND(S8&gt;200,S8&lt;=400),"Kritik Risk",IF(S8&gt;400,"Kabul Edilemez Risk","Risk Puanı Doğru Tanımlanamamıştır.")))))</f>
        <v>Olası Risk</v>
      </c>
      <c r="U8" s="20"/>
      <c r="V8" s="20"/>
      <c r="W8" s="20"/>
      <c r="X8" s="20"/>
      <c r="Z8" s="20"/>
      <c r="AA8" s="20"/>
      <c r="AB8" s="20"/>
      <c r="AC8" s="20"/>
      <c r="AD8" s="20"/>
      <c r="AE8" s="20"/>
      <c r="AF8" s="20"/>
      <c r="AG8" s="20"/>
      <c r="AH8" s="20"/>
    </row>
    <row r="9" spans="1:34" s="14" customFormat="1" ht="57.6" x14ac:dyDescent="0.3">
      <c r="A9" s="19">
        <v>2</v>
      </c>
      <c r="B9" s="86"/>
      <c r="C9" s="108"/>
      <c r="D9" s="2" t="s">
        <v>205</v>
      </c>
      <c r="E9" s="44" t="s">
        <v>206</v>
      </c>
      <c r="F9" s="2" t="s">
        <v>207</v>
      </c>
      <c r="G9" s="23">
        <v>3</v>
      </c>
      <c r="H9" s="23">
        <v>100</v>
      </c>
      <c r="I9" s="23">
        <v>6</v>
      </c>
      <c r="J9" s="23">
        <f t="shared" si="0"/>
        <v>1800</v>
      </c>
      <c r="K9" s="63" t="str">
        <f t="shared" si="1"/>
        <v>Kabul Edilemez Risk</v>
      </c>
      <c r="L9" s="2" t="s">
        <v>238</v>
      </c>
      <c r="M9" s="2" t="s">
        <v>208</v>
      </c>
      <c r="N9" s="56">
        <v>46022</v>
      </c>
      <c r="O9" s="22" t="s">
        <v>210</v>
      </c>
      <c r="P9" s="19"/>
      <c r="Q9" s="19"/>
      <c r="R9" s="19"/>
      <c r="S9" s="44"/>
      <c r="T9" s="70"/>
      <c r="U9" s="66" t="s">
        <v>295</v>
      </c>
      <c r="V9" s="20"/>
      <c r="W9" s="20"/>
      <c r="X9" s="20"/>
      <c r="Z9" s="20"/>
      <c r="AA9" s="20"/>
      <c r="AB9" s="20"/>
      <c r="AC9" s="20"/>
      <c r="AD9" s="20"/>
      <c r="AE9" s="20"/>
      <c r="AF9" s="20"/>
      <c r="AG9" s="20"/>
      <c r="AH9" s="20"/>
    </row>
    <row r="10" spans="1:34" s="14" customFormat="1" ht="43.2" x14ac:dyDescent="0.3">
      <c r="A10" s="50">
        <v>3</v>
      </c>
      <c r="B10" s="86"/>
      <c r="C10" s="108"/>
      <c r="D10" s="2" t="s">
        <v>211</v>
      </c>
      <c r="E10" s="44" t="s">
        <v>212</v>
      </c>
      <c r="F10" s="2" t="s">
        <v>213</v>
      </c>
      <c r="G10" s="23">
        <v>1</v>
      </c>
      <c r="H10" s="23">
        <v>3</v>
      </c>
      <c r="I10" s="23">
        <v>10</v>
      </c>
      <c r="J10" s="23">
        <f t="shared" si="0"/>
        <v>30</v>
      </c>
      <c r="K10" s="64" t="str">
        <f t="shared" si="1"/>
        <v>Olası Risk</v>
      </c>
      <c r="L10" s="2" t="s">
        <v>214</v>
      </c>
      <c r="M10" s="2" t="s">
        <v>208</v>
      </c>
      <c r="N10" s="22" t="s">
        <v>16</v>
      </c>
      <c r="O10" s="22" t="s">
        <v>215</v>
      </c>
      <c r="P10" s="54">
        <v>0.5</v>
      </c>
      <c r="Q10" s="54">
        <v>1</v>
      </c>
      <c r="R10" s="54">
        <v>10</v>
      </c>
      <c r="S10" s="44">
        <f t="shared" ref="S10:S65" si="2">P10*Q10*R10</f>
        <v>5</v>
      </c>
      <c r="T10" s="70" t="str">
        <f t="shared" ref="T10:T65" si="3">IF(S10&lt;=20,"Düşük Risk",IF(AND(S10&gt;20,S10&lt;=70),"Olası Risk",IF(AND(S10&gt;70,S10&lt;=200),"Ciddi Risk",IF(AND(S10&gt;200,S10&lt;=400),"Kritik Risk",IF(S10&gt;400,"Kabul Edilemez Risk","Risk Puanı Doğru Tanımlanamamıştır.")))))</f>
        <v>Düşük Risk</v>
      </c>
      <c r="U10" s="20"/>
      <c r="V10" s="20"/>
      <c r="W10" s="20"/>
      <c r="X10" s="20"/>
      <c r="Z10" s="20"/>
      <c r="AA10" s="20"/>
      <c r="AB10" s="20"/>
      <c r="AC10" s="20"/>
      <c r="AD10" s="20"/>
      <c r="AE10" s="20"/>
      <c r="AF10" s="20"/>
      <c r="AG10" s="20"/>
      <c r="AH10" s="20"/>
    </row>
    <row r="11" spans="1:34" s="14" customFormat="1" ht="51.6" customHeight="1" x14ac:dyDescent="0.3">
      <c r="A11" s="50">
        <v>4</v>
      </c>
      <c r="B11" s="86"/>
      <c r="C11" s="108"/>
      <c r="D11" s="2" t="s">
        <v>216</v>
      </c>
      <c r="E11" s="44" t="s">
        <v>217</v>
      </c>
      <c r="F11" s="2" t="s">
        <v>218</v>
      </c>
      <c r="G11" s="23">
        <v>3</v>
      </c>
      <c r="H11" s="23">
        <v>15</v>
      </c>
      <c r="I11" s="23">
        <v>6</v>
      </c>
      <c r="J11" s="23">
        <f t="shared" si="0"/>
        <v>270</v>
      </c>
      <c r="K11" s="63" t="str">
        <f t="shared" si="1"/>
        <v>Kritik Risk</v>
      </c>
      <c r="L11" s="2" t="s">
        <v>219</v>
      </c>
      <c r="M11" s="2" t="s">
        <v>220</v>
      </c>
      <c r="N11" s="22" t="s">
        <v>16</v>
      </c>
      <c r="O11" s="22" t="s">
        <v>225</v>
      </c>
      <c r="P11" s="19">
        <v>1</v>
      </c>
      <c r="Q11" s="19">
        <v>15</v>
      </c>
      <c r="R11" s="19">
        <v>3</v>
      </c>
      <c r="S11" s="44">
        <f t="shared" si="2"/>
        <v>45</v>
      </c>
      <c r="T11" s="70" t="str">
        <f t="shared" si="3"/>
        <v>Olası Risk</v>
      </c>
      <c r="U11" s="20"/>
      <c r="V11" s="20"/>
      <c r="W11" s="20"/>
      <c r="X11" s="20"/>
      <c r="Z11" s="20"/>
      <c r="AA11" s="20"/>
      <c r="AB11" s="20"/>
      <c r="AC11" s="20"/>
      <c r="AD11" s="20"/>
      <c r="AE11" s="20"/>
      <c r="AF11" s="20"/>
      <c r="AG11" s="20"/>
      <c r="AH11" s="20"/>
    </row>
    <row r="12" spans="1:34" s="14" customFormat="1" ht="43.2" x14ac:dyDescent="0.3">
      <c r="A12" s="80">
        <v>5</v>
      </c>
      <c r="B12" s="86"/>
      <c r="C12" s="108"/>
      <c r="D12" s="2" t="s">
        <v>221</v>
      </c>
      <c r="E12" s="44" t="s">
        <v>93</v>
      </c>
      <c r="F12" s="2" t="s">
        <v>222</v>
      </c>
      <c r="G12" s="23">
        <v>6</v>
      </c>
      <c r="H12" s="23">
        <v>3</v>
      </c>
      <c r="I12" s="23">
        <v>6</v>
      </c>
      <c r="J12" s="23">
        <f t="shared" si="0"/>
        <v>108</v>
      </c>
      <c r="K12" s="64" t="str">
        <f t="shared" si="1"/>
        <v>Ciddi Risk</v>
      </c>
      <c r="L12" s="2" t="s">
        <v>223</v>
      </c>
      <c r="M12" s="2" t="s">
        <v>12</v>
      </c>
      <c r="N12" s="22" t="s">
        <v>224</v>
      </c>
      <c r="O12" s="22" t="s">
        <v>226</v>
      </c>
      <c r="P12" s="19">
        <v>1</v>
      </c>
      <c r="Q12" s="19">
        <v>3</v>
      </c>
      <c r="R12" s="19">
        <v>6</v>
      </c>
      <c r="S12" s="44">
        <f t="shared" si="2"/>
        <v>18</v>
      </c>
      <c r="T12" s="70" t="str">
        <f t="shared" si="3"/>
        <v>Düşük Risk</v>
      </c>
      <c r="U12" s="20"/>
      <c r="V12" s="20"/>
      <c r="W12" s="20"/>
      <c r="X12" s="20"/>
      <c r="Z12" s="20"/>
      <c r="AA12" s="20"/>
      <c r="AB12" s="20"/>
      <c r="AC12" s="20"/>
      <c r="AD12" s="20"/>
      <c r="AE12" s="20"/>
      <c r="AF12" s="20"/>
      <c r="AG12" s="20"/>
      <c r="AH12" s="20"/>
    </row>
    <row r="13" spans="1:34" s="14" customFormat="1" ht="43.2" x14ac:dyDescent="0.3">
      <c r="A13" s="80">
        <v>6</v>
      </c>
      <c r="B13" s="86"/>
      <c r="C13" s="108"/>
      <c r="D13" s="2" t="s">
        <v>227</v>
      </c>
      <c r="E13" s="44" t="s">
        <v>228</v>
      </c>
      <c r="F13" s="2" t="s">
        <v>229</v>
      </c>
      <c r="G13" s="23">
        <v>10</v>
      </c>
      <c r="H13" s="23">
        <v>100</v>
      </c>
      <c r="I13" s="23">
        <v>10</v>
      </c>
      <c r="J13" s="23">
        <f t="shared" si="0"/>
        <v>10000</v>
      </c>
      <c r="K13" s="63" t="str">
        <f t="shared" si="1"/>
        <v>Kabul Edilemez Risk</v>
      </c>
      <c r="L13" s="2" t="s">
        <v>230</v>
      </c>
      <c r="M13" s="2" t="s">
        <v>208</v>
      </c>
      <c r="N13" s="22" t="s">
        <v>16</v>
      </c>
      <c r="O13" s="22" t="s">
        <v>231</v>
      </c>
      <c r="P13" s="19">
        <v>0.5</v>
      </c>
      <c r="Q13" s="19">
        <v>15</v>
      </c>
      <c r="R13" s="19">
        <v>1</v>
      </c>
      <c r="S13" s="44">
        <f t="shared" si="2"/>
        <v>7.5</v>
      </c>
      <c r="T13" s="70" t="str">
        <f t="shared" si="3"/>
        <v>Düşük Risk</v>
      </c>
      <c r="U13" s="20"/>
      <c r="V13" s="20"/>
      <c r="W13" s="20"/>
      <c r="X13" s="20"/>
      <c r="Z13" s="20"/>
      <c r="AA13" s="20"/>
      <c r="AB13" s="20"/>
      <c r="AC13" s="20"/>
      <c r="AD13" s="20"/>
      <c r="AE13" s="20"/>
      <c r="AF13" s="20"/>
      <c r="AG13" s="20"/>
      <c r="AH13" s="20"/>
    </row>
    <row r="14" spans="1:34" s="14" customFormat="1" ht="60.6" customHeight="1" x14ac:dyDescent="0.3">
      <c r="A14" s="80">
        <v>7</v>
      </c>
      <c r="B14" s="86"/>
      <c r="C14" s="108"/>
      <c r="D14" s="53" t="s">
        <v>232</v>
      </c>
      <c r="E14" s="44" t="s">
        <v>212</v>
      </c>
      <c r="F14" s="2" t="s">
        <v>233</v>
      </c>
      <c r="G14" s="54">
        <v>0.5</v>
      </c>
      <c r="H14" s="54">
        <v>1</v>
      </c>
      <c r="I14" s="54">
        <v>10</v>
      </c>
      <c r="J14" s="54">
        <f t="shared" si="0"/>
        <v>5</v>
      </c>
      <c r="K14" s="65" t="str">
        <f t="shared" si="1"/>
        <v>Düşük Risk</v>
      </c>
      <c r="L14" s="53" t="s">
        <v>234</v>
      </c>
      <c r="M14" s="53" t="s">
        <v>235</v>
      </c>
      <c r="N14" s="55" t="s">
        <v>236</v>
      </c>
      <c r="O14" s="55" t="s">
        <v>237</v>
      </c>
      <c r="P14" s="19">
        <v>0.5</v>
      </c>
      <c r="Q14" s="19">
        <v>1</v>
      </c>
      <c r="R14" s="19">
        <v>10</v>
      </c>
      <c r="S14" s="44">
        <f t="shared" si="2"/>
        <v>5</v>
      </c>
      <c r="T14" s="70" t="str">
        <f t="shared" si="3"/>
        <v>Düşük Risk</v>
      </c>
      <c r="U14" s="20"/>
      <c r="V14" s="20"/>
      <c r="W14" s="20"/>
      <c r="X14" s="20"/>
      <c r="Z14" s="20"/>
      <c r="AA14" s="20"/>
      <c r="AB14" s="20"/>
      <c r="AC14" s="20"/>
      <c r="AD14" s="20"/>
      <c r="AE14" s="20"/>
      <c r="AF14" s="20"/>
      <c r="AG14" s="20"/>
      <c r="AH14" s="20"/>
    </row>
    <row r="15" spans="1:34" s="14" customFormat="1" ht="57.6" x14ac:dyDescent="0.3">
      <c r="A15" s="80">
        <v>8</v>
      </c>
      <c r="B15" s="86"/>
      <c r="C15" s="108"/>
      <c r="D15" s="2" t="s">
        <v>137</v>
      </c>
      <c r="E15" s="1" t="s">
        <v>243</v>
      </c>
      <c r="F15" s="2" t="s">
        <v>222</v>
      </c>
      <c r="G15" s="5">
        <v>1</v>
      </c>
      <c r="H15" s="5">
        <v>3</v>
      </c>
      <c r="I15" s="5">
        <v>6</v>
      </c>
      <c r="J15" s="5">
        <f t="shared" ref="J15:J58" si="4">G15*H15*I15</f>
        <v>18</v>
      </c>
      <c r="K15" s="65" t="str">
        <f t="shared" si="1"/>
        <v>Düşük Risk</v>
      </c>
      <c r="L15" s="2" t="s">
        <v>140</v>
      </c>
      <c r="M15" s="2" t="s">
        <v>105</v>
      </c>
      <c r="N15" s="3" t="s">
        <v>16</v>
      </c>
      <c r="O15" s="3" t="s">
        <v>226</v>
      </c>
      <c r="P15" s="4">
        <v>1</v>
      </c>
      <c r="Q15" s="4">
        <v>3</v>
      </c>
      <c r="R15" s="4">
        <v>6</v>
      </c>
      <c r="S15" s="44">
        <f t="shared" si="2"/>
        <v>18</v>
      </c>
      <c r="T15" s="70" t="str">
        <f t="shared" si="3"/>
        <v>Düşük Risk</v>
      </c>
      <c r="U15" s="20"/>
      <c r="V15" s="20"/>
      <c r="W15" s="20"/>
      <c r="X15" s="20"/>
      <c r="Z15" s="20"/>
      <c r="AA15" s="20"/>
      <c r="AB15" s="20"/>
      <c r="AC15" s="20"/>
      <c r="AD15" s="20"/>
      <c r="AE15" s="20"/>
      <c r="AF15" s="20"/>
      <c r="AG15" s="20"/>
      <c r="AH15" s="20"/>
    </row>
    <row r="16" spans="1:34" ht="43.2" x14ac:dyDescent="0.3">
      <c r="A16" s="80">
        <v>9</v>
      </c>
      <c r="B16" s="86"/>
      <c r="C16" s="83" t="s">
        <v>8</v>
      </c>
      <c r="D16" s="3" t="s">
        <v>65</v>
      </c>
      <c r="E16" s="52" t="s">
        <v>240</v>
      </c>
      <c r="F16" s="1" t="s">
        <v>241</v>
      </c>
      <c r="G16" s="5">
        <v>5</v>
      </c>
      <c r="H16" s="5">
        <v>4</v>
      </c>
      <c r="I16" s="5">
        <f t="shared" ref="I16:I57" si="5">G16*H16</f>
        <v>20</v>
      </c>
      <c r="J16" s="5">
        <f t="shared" si="4"/>
        <v>400</v>
      </c>
      <c r="K16" s="63" t="str">
        <f t="shared" ref="K16:K58" si="6">IF(J16&lt;=20,"Düşük Risk",IF(AND(J16&gt;20,J16&lt;=70),"Olası Risk",IF(AND(J16&gt;70,J16&lt;=200),"Ciddi Risk",IF(AND(J16&gt;200,J16&lt;=400),"Kritik Risk",IF(J16&gt;400,"Kabul Edilemez Risk","Risk Puanı Doğru Tanımlanamamıştır.")))))</f>
        <v>Kritik Risk</v>
      </c>
      <c r="L16" s="3" t="s">
        <v>66</v>
      </c>
      <c r="M16" s="3" t="s">
        <v>242</v>
      </c>
      <c r="N16" s="3" t="s">
        <v>16</v>
      </c>
      <c r="O16" s="3" t="s">
        <v>215</v>
      </c>
      <c r="P16" s="17">
        <v>1</v>
      </c>
      <c r="Q16" s="17">
        <v>4</v>
      </c>
      <c r="R16" s="17">
        <v>20</v>
      </c>
      <c r="S16" s="44">
        <f t="shared" si="2"/>
        <v>80</v>
      </c>
      <c r="T16" s="70" t="str">
        <f t="shared" si="3"/>
        <v>Ciddi Risk</v>
      </c>
      <c r="U16" s="21"/>
      <c r="V16" s="21"/>
      <c r="W16" s="21"/>
      <c r="X16" s="21"/>
      <c r="Z16" s="21"/>
      <c r="AA16" s="21"/>
      <c r="AB16" s="21"/>
      <c r="AC16" s="21"/>
      <c r="AD16" s="21"/>
      <c r="AE16" s="21"/>
      <c r="AF16" s="21"/>
      <c r="AG16" s="21"/>
      <c r="AH16" s="21"/>
    </row>
    <row r="17" spans="1:34" ht="43.2" x14ac:dyDescent="0.3">
      <c r="A17" s="80">
        <v>10</v>
      </c>
      <c r="B17" s="86"/>
      <c r="C17" s="83"/>
      <c r="D17" s="3" t="s">
        <v>71</v>
      </c>
      <c r="E17" s="1" t="s">
        <v>243</v>
      </c>
      <c r="F17" s="1" t="s">
        <v>0</v>
      </c>
      <c r="G17" s="5">
        <v>1</v>
      </c>
      <c r="H17" s="5">
        <v>15</v>
      </c>
      <c r="I17" s="5">
        <v>0.5</v>
      </c>
      <c r="J17" s="5">
        <f t="shared" si="4"/>
        <v>7.5</v>
      </c>
      <c r="K17" s="64" t="str">
        <f t="shared" si="6"/>
        <v>Düşük Risk</v>
      </c>
      <c r="L17" s="3" t="s">
        <v>10</v>
      </c>
      <c r="M17" s="3" t="s">
        <v>13</v>
      </c>
      <c r="N17" s="3" t="s">
        <v>16</v>
      </c>
      <c r="O17" s="3" t="s">
        <v>244</v>
      </c>
      <c r="P17" s="17">
        <v>1</v>
      </c>
      <c r="Q17" s="17">
        <v>15</v>
      </c>
      <c r="R17" s="17">
        <v>0.5</v>
      </c>
      <c r="S17" s="44">
        <f t="shared" si="2"/>
        <v>7.5</v>
      </c>
      <c r="T17" s="70" t="str">
        <f t="shared" si="3"/>
        <v>Düşük Risk</v>
      </c>
      <c r="U17" s="21"/>
      <c r="V17" s="21"/>
      <c r="W17" s="21"/>
      <c r="X17" s="21"/>
      <c r="Z17" s="21"/>
      <c r="AA17" s="21"/>
      <c r="AB17" s="21"/>
      <c r="AC17" s="21"/>
      <c r="AD17" s="21"/>
      <c r="AE17" s="21"/>
      <c r="AF17" s="21"/>
      <c r="AG17" s="21"/>
      <c r="AH17" s="21"/>
    </row>
    <row r="18" spans="1:34" ht="57.6" x14ac:dyDescent="0.3">
      <c r="A18" s="80">
        <v>11</v>
      </c>
      <c r="B18" s="86"/>
      <c r="C18" s="83"/>
      <c r="D18" s="3" t="s">
        <v>134</v>
      </c>
      <c r="E18" s="1" t="s">
        <v>243</v>
      </c>
      <c r="F18" s="1" t="s">
        <v>135</v>
      </c>
      <c r="G18" s="5">
        <v>1</v>
      </c>
      <c r="H18" s="5">
        <v>3</v>
      </c>
      <c r="I18" s="5">
        <v>3</v>
      </c>
      <c r="J18" s="5">
        <f t="shared" si="4"/>
        <v>9</v>
      </c>
      <c r="K18" s="64" t="str">
        <f t="shared" si="6"/>
        <v>Düşük Risk</v>
      </c>
      <c r="L18" s="3" t="s">
        <v>136</v>
      </c>
      <c r="M18" s="3" t="s">
        <v>105</v>
      </c>
      <c r="N18" s="3" t="s">
        <v>108</v>
      </c>
      <c r="O18" s="3" t="s">
        <v>245</v>
      </c>
      <c r="P18" s="17">
        <v>1</v>
      </c>
      <c r="Q18" s="17">
        <v>3</v>
      </c>
      <c r="R18" s="17">
        <v>3</v>
      </c>
      <c r="S18" s="44">
        <f t="shared" si="2"/>
        <v>9</v>
      </c>
      <c r="T18" s="70" t="str">
        <f t="shared" si="3"/>
        <v>Düşük Risk</v>
      </c>
      <c r="U18" s="21"/>
      <c r="V18" s="21"/>
      <c r="W18" s="21"/>
      <c r="X18" s="21"/>
      <c r="Z18" s="21"/>
      <c r="AA18" s="21"/>
      <c r="AB18" s="21"/>
      <c r="AC18" s="21"/>
      <c r="AD18" s="21"/>
      <c r="AE18" s="21"/>
      <c r="AF18" s="21"/>
      <c r="AG18" s="21"/>
      <c r="AH18" s="21"/>
    </row>
    <row r="19" spans="1:34" ht="43.2" x14ac:dyDescent="0.3">
      <c r="A19" s="80">
        <v>12</v>
      </c>
      <c r="B19" s="86"/>
      <c r="C19" s="83"/>
      <c r="D19" s="2" t="s">
        <v>221</v>
      </c>
      <c r="E19" s="44" t="s">
        <v>93</v>
      </c>
      <c r="F19" s="2" t="s">
        <v>222</v>
      </c>
      <c r="G19" s="23">
        <v>6</v>
      </c>
      <c r="H19" s="23">
        <v>3</v>
      </c>
      <c r="I19" s="23">
        <v>6</v>
      </c>
      <c r="J19" s="23">
        <f>G19*H19*I19</f>
        <v>108</v>
      </c>
      <c r="K19" s="64" t="str">
        <f>IF(J19&lt;=20,"Düşük Risk",IF(AND(J19&gt;20,J19&lt;=70),"Olası Risk",IF(AND(J19&gt;70,J19&lt;=200),"Ciddi Risk",IF(AND(J19&gt;200,J19&lt;=400),"Kritik Risk",IF(J19&gt;400,"Kabul Edilemez Risk","Risk Puanı Doğru Tanımlanamamıştır.")))))</f>
        <v>Ciddi Risk</v>
      </c>
      <c r="L19" s="2" t="s">
        <v>223</v>
      </c>
      <c r="M19" s="2" t="s">
        <v>12</v>
      </c>
      <c r="N19" s="22" t="s">
        <v>224</v>
      </c>
      <c r="O19" s="22" t="s">
        <v>226</v>
      </c>
      <c r="P19" s="18">
        <v>6</v>
      </c>
      <c r="Q19" s="18">
        <v>3</v>
      </c>
      <c r="R19" s="18">
        <v>6</v>
      </c>
      <c r="S19" s="44">
        <f t="shared" si="2"/>
        <v>108</v>
      </c>
      <c r="T19" s="70" t="str">
        <f t="shared" si="3"/>
        <v>Ciddi Risk</v>
      </c>
      <c r="U19" s="21"/>
      <c r="V19" s="21"/>
      <c r="W19" s="21"/>
      <c r="X19" s="21"/>
      <c r="Z19" s="21"/>
      <c r="AA19" s="21"/>
      <c r="AB19" s="21"/>
      <c r="AC19" s="21"/>
      <c r="AD19" s="21"/>
      <c r="AE19" s="21"/>
      <c r="AF19" s="21"/>
      <c r="AG19" s="21"/>
      <c r="AH19" s="21"/>
    </row>
    <row r="20" spans="1:34" ht="57.6" x14ac:dyDescent="0.3">
      <c r="A20" s="80">
        <v>13</v>
      </c>
      <c r="B20" s="86"/>
      <c r="C20" s="83"/>
      <c r="D20" s="22" t="s">
        <v>246</v>
      </c>
      <c r="E20" s="1" t="s">
        <v>78</v>
      </c>
      <c r="F20" s="59" t="s">
        <v>247</v>
      </c>
      <c r="G20" s="5">
        <v>6</v>
      </c>
      <c r="H20" s="5">
        <v>7</v>
      </c>
      <c r="I20" s="5">
        <v>6</v>
      </c>
      <c r="J20" s="5">
        <f t="shared" si="4"/>
        <v>252</v>
      </c>
      <c r="K20" s="63" t="str">
        <f t="shared" si="6"/>
        <v>Kritik Risk</v>
      </c>
      <c r="L20" s="3" t="s">
        <v>60</v>
      </c>
      <c r="M20" s="3" t="s">
        <v>12</v>
      </c>
      <c r="N20" s="17" t="s">
        <v>16</v>
      </c>
      <c r="O20" s="22" t="s">
        <v>248</v>
      </c>
      <c r="P20" s="17">
        <v>1</v>
      </c>
      <c r="Q20" s="17">
        <v>7</v>
      </c>
      <c r="R20" s="17">
        <v>6</v>
      </c>
      <c r="S20" s="44">
        <f t="shared" si="2"/>
        <v>42</v>
      </c>
      <c r="T20" s="70" t="str">
        <f t="shared" si="3"/>
        <v>Olası Risk</v>
      </c>
      <c r="U20" s="21"/>
      <c r="V20" s="21"/>
      <c r="W20" s="21"/>
      <c r="X20" s="21"/>
      <c r="Z20" s="21"/>
      <c r="AA20" s="21"/>
      <c r="AB20" s="21"/>
      <c r="AC20" s="21"/>
      <c r="AD20" s="21"/>
      <c r="AE20" s="21"/>
      <c r="AF20" s="21"/>
      <c r="AG20" s="21"/>
      <c r="AH20" s="21"/>
    </row>
    <row r="21" spans="1:34" ht="86.4" x14ac:dyDescent="0.3">
      <c r="A21" s="80">
        <v>14</v>
      </c>
      <c r="B21" s="86"/>
      <c r="C21" s="85" t="s">
        <v>68</v>
      </c>
      <c r="D21" s="55" t="s">
        <v>249</v>
      </c>
      <c r="E21" s="58" t="s">
        <v>250</v>
      </c>
      <c r="F21" s="57" t="s">
        <v>222</v>
      </c>
      <c r="G21" s="23">
        <v>6</v>
      </c>
      <c r="H21" s="23">
        <v>7</v>
      </c>
      <c r="I21" s="23">
        <v>6</v>
      </c>
      <c r="J21" s="23">
        <f t="shared" si="4"/>
        <v>252</v>
      </c>
      <c r="K21" s="63" t="str">
        <f t="shared" si="6"/>
        <v>Kritik Risk</v>
      </c>
      <c r="L21" s="22" t="s">
        <v>251</v>
      </c>
      <c r="M21" s="22" t="s">
        <v>253</v>
      </c>
      <c r="N21" s="60">
        <v>46147</v>
      </c>
      <c r="O21" s="22" t="s">
        <v>252</v>
      </c>
      <c r="P21" s="18"/>
      <c r="Q21" s="18"/>
      <c r="R21" s="18"/>
      <c r="S21" s="44"/>
      <c r="T21" s="70"/>
      <c r="U21" s="71" t="s">
        <v>295</v>
      </c>
      <c r="V21" s="21"/>
      <c r="W21" s="21"/>
      <c r="X21" s="21"/>
      <c r="Z21" s="21"/>
      <c r="AA21" s="21"/>
      <c r="AB21" s="21"/>
      <c r="AC21" s="21"/>
      <c r="AD21" s="21"/>
      <c r="AE21" s="21"/>
      <c r="AF21" s="21"/>
      <c r="AG21" s="21"/>
      <c r="AH21" s="21"/>
    </row>
    <row r="22" spans="1:34" ht="57.6" x14ac:dyDescent="0.3">
      <c r="A22" s="80">
        <v>15</v>
      </c>
      <c r="B22" s="86"/>
      <c r="C22" s="86"/>
      <c r="D22" s="3" t="s">
        <v>69</v>
      </c>
      <c r="E22" s="1" t="s">
        <v>250</v>
      </c>
      <c r="F22" s="22" t="s">
        <v>70</v>
      </c>
      <c r="G22" s="5">
        <v>6</v>
      </c>
      <c r="H22" s="5">
        <v>3</v>
      </c>
      <c r="I22" s="5">
        <v>6</v>
      </c>
      <c r="J22" s="5">
        <f t="shared" si="4"/>
        <v>108</v>
      </c>
      <c r="K22" s="64" t="str">
        <f t="shared" si="6"/>
        <v>Ciddi Risk</v>
      </c>
      <c r="L22" s="3" t="s">
        <v>67</v>
      </c>
      <c r="M22" s="3" t="s">
        <v>105</v>
      </c>
      <c r="N22" s="17" t="s">
        <v>16</v>
      </c>
      <c r="O22" s="22" t="s">
        <v>226</v>
      </c>
      <c r="P22" s="17">
        <v>3</v>
      </c>
      <c r="Q22" s="17">
        <v>3</v>
      </c>
      <c r="R22" s="17">
        <v>6</v>
      </c>
      <c r="S22" s="44">
        <f t="shared" si="2"/>
        <v>54</v>
      </c>
      <c r="T22" s="70" t="str">
        <f t="shared" si="3"/>
        <v>Olası Risk</v>
      </c>
      <c r="U22" s="21"/>
      <c r="V22" s="21"/>
      <c r="W22" s="21"/>
      <c r="X22" s="21"/>
      <c r="Z22" s="21"/>
      <c r="AA22" s="21"/>
      <c r="AB22" s="21"/>
      <c r="AC22" s="21"/>
      <c r="AD22" s="21"/>
      <c r="AE22" s="21"/>
      <c r="AF22" s="21"/>
      <c r="AG22" s="21"/>
      <c r="AH22" s="21"/>
    </row>
    <row r="23" spans="1:34" ht="43.2" x14ac:dyDescent="0.3">
      <c r="A23" s="80">
        <v>16</v>
      </c>
      <c r="B23" s="86"/>
      <c r="C23" s="86"/>
      <c r="D23" s="2" t="s">
        <v>221</v>
      </c>
      <c r="E23" s="44" t="s">
        <v>93</v>
      </c>
      <c r="F23" s="2" t="s">
        <v>222</v>
      </c>
      <c r="G23" s="23">
        <v>6</v>
      </c>
      <c r="H23" s="23">
        <v>3</v>
      </c>
      <c r="I23" s="23">
        <v>6</v>
      </c>
      <c r="J23" s="23">
        <f>G23*H23*I23</f>
        <v>108</v>
      </c>
      <c r="K23" s="64" t="str">
        <f>IF(J23&lt;=20,"Düşük Risk",IF(AND(J23&gt;20,J23&lt;=70),"Olası Risk",IF(AND(J23&gt;70,J23&lt;=200),"Ciddi Risk",IF(AND(J23&gt;200,J23&lt;=400),"Kritik Risk",IF(J23&gt;400,"Kabul Edilemez Risk","Risk Puanı Doğru Tanımlanamamıştır.")))))</f>
        <v>Ciddi Risk</v>
      </c>
      <c r="L23" s="2" t="s">
        <v>223</v>
      </c>
      <c r="M23" s="2" t="s">
        <v>12</v>
      </c>
      <c r="N23" s="22" t="s">
        <v>224</v>
      </c>
      <c r="O23" s="22" t="s">
        <v>226</v>
      </c>
      <c r="P23" s="18">
        <v>3</v>
      </c>
      <c r="Q23" s="18">
        <v>3</v>
      </c>
      <c r="R23" s="18">
        <v>6</v>
      </c>
      <c r="S23" s="44">
        <f t="shared" si="2"/>
        <v>54</v>
      </c>
      <c r="T23" s="70" t="str">
        <f t="shared" si="3"/>
        <v>Olası Risk</v>
      </c>
      <c r="U23" s="21"/>
      <c r="V23" s="21"/>
      <c r="W23" s="21"/>
      <c r="X23" s="21"/>
      <c r="Z23" s="21"/>
      <c r="AA23" s="21"/>
      <c r="AB23" s="21"/>
      <c r="AC23" s="21"/>
      <c r="AD23" s="21"/>
      <c r="AE23" s="21"/>
      <c r="AF23" s="21"/>
      <c r="AG23" s="21"/>
      <c r="AH23" s="21"/>
    </row>
    <row r="24" spans="1:34" ht="57.6" x14ac:dyDescent="0.3">
      <c r="A24" s="80">
        <v>17</v>
      </c>
      <c r="B24" s="86"/>
      <c r="C24" s="87"/>
      <c r="D24" s="3" t="s">
        <v>131</v>
      </c>
      <c r="E24" s="1" t="s">
        <v>254</v>
      </c>
      <c r="F24" s="1" t="s">
        <v>132</v>
      </c>
      <c r="G24" s="5">
        <v>1</v>
      </c>
      <c r="H24" s="5">
        <v>3</v>
      </c>
      <c r="I24" s="5">
        <v>3</v>
      </c>
      <c r="J24" s="5">
        <f t="shared" si="4"/>
        <v>9</v>
      </c>
      <c r="K24" s="64" t="str">
        <f t="shared" si="6"/>
        <v>Düşük Risk</v>
      </c>
      <c r="L24" s="3" t="s">
        <v>133</v>
      </c>
      <c r="M24" s="3" t="s">
        <v>105</v>
      </c>
      <c r="N24" s="3" t="s">
        <v>108</v>
      </c>
      <c r="O24" s="22" t="s">
        <v>226</v>
      </c>
      <c r="P24" s="17">
        <v>1</v>
      </c>
      <c r="Q24" s="17">
        <v>3</v>
      </c>
      <c r="R24" s="17">
        <v>3</v>
      </c>
      <c r="S24" s="44">
        <f t="shared" si="2"/>
        <v>9</v>
      </c>
      <c r="T24" s="70" t="str">
        <f t="shared" si="3"/>
        <v>Düşük Risk</v>
      </c>
      <c r="U24" s="21"/>
      <c r="V24" s="21"/>
      <c r="W24" s="21"/>
      <c r="X24" s="21"/>
      <c r="Z24" s="21"/>
      <c r="AA24" s="21"/>
      <c r="AB24" s="21"/>
      <c r="AC24" s="21"/>
      <c r="AD24" s="21"/>
      <c r="AE24" s="21"/>
      <c r="AF24" s="21"/>
      <c r="AG24" s="21"/>
      <c r="AH24" s="21"/>
    </row>
    <row r="25" spans="1:34" ht="43.2" x14ac:dyDescent="0.3">
      <c r="A25" s="80">
        <v>18</v>
      </c>
      <c r="B25" s="86"/>
      <c r="C25" s="85" t="s">
        <v>255</v>
      </c>
      <c r="D25" s="2" t="s">
        <v>256</v>
      </c>
      <c r="E25" s="1" t="s">
        <v>201</v>
      </c>
      <c r="F25" s="2" t="s">
        <v>204</v>
      </c>
      <c r="G25" s="23">
        <v>3</v>
      </c>
      <c r="H25" s="23">
        <v>15</v>
      </c>
      <c r="I25" s="23">
        <v>6</v>
      </c>
      <c r="J25" s="23">
        <f t="shared" ref="J25:J33" si="7">G25*H25*I25</f>
        <v>270</v>
      </c>
      <c r="K25" s="63" t="str">
        <f t="shared" ref="K25:K30" si="8">IF(J25&lt;=20,"Düşük Risk",IF(AND(J25&gt;20,J25&lt;=70),"Olası Risk",IF(AND(J25&gt;70,J25&lt;=200),"Ciddi Risk",IF(AND(J25&gt;200,J25&lt;=400),"Kritik Risk",IF(J25&gt;400,"Kabul Edilemez Risk","Risk Puanı Doğru Tanımlanamamıştır.")))))</f>
        <v>Kritik Risk</v>
      </c>
      <c r="L25" s="2" t="s">
        <v>202</v>
      </c>
      <c r="M25" s="2" t="s">
        <v>203</v>
      </c>
      <c r="N25" s="22" t="s">
        <v>209</v>
      </c>
      <c r="O25" s="22" t="s">
        <v>239</v>
      </c>
      <c r="P25" s="18"/>
      <c r="Q25" s="18"/>
      <c r="R25" s="18"/>
      <c r="S25" s="44"/>
      <c r="T25" s="70"/>
      <c r="U25" s="71" t="s">
        <v>296</v>
      </c>
      <c r="V25" s="21"/>
      <c r="W25" s="21"/>
      <c r="X25" s="21"/>
      <c r="Z25" s="21"/>
      <c r="AA25" s="21"/>
      <c r="AB25" s="21"/>
      <c r="AC25" s="21"/>
      <c r="AD25" s="21"/>
      <c r="AE25" s="21"/>
      <c r="AF25" s="21"/>
      <c r="AG25" s="21"/>
      <c r="AH25" s="21"/>
    </row>
    <row r="26" spans="1:34" ht="43.2" x14ac:dyDescent="0.3">
      <c r="A26" s="80">
        <v>19</v>
      </c>
      <c r="B26" s="86"/>
      <c r="C26" s="86"/>
      <c r="D26" s="59" t="s">
        <v>257</v>
      </c>
      <c r="E26" s="1" t="s">
        <v>201</v>
      </c>
      <c r="F26" s="1" t="s">
        <v>258</v>
      </c>
      <c r="G26" s="23">
        <v>3</v>
      </c>
      <c r="H26" s="23">
        <v>15</v>
      </c>
      <c r="I26" s="23">
        <v>6</v>
      </c>
      <c r="J26" s="23">
        <f t="shared" si="7"/>
        <v>270</v>
      </c>
      <c r="K26" s="63" t="str">
        <f t="shared" si="8"/>
        <v>Kritik Risk</v>
      </c>
      <c r="L26" s="2" t="s">
        <v>202</v>
      </c>
      <c r="M26" s="2" t="s">
        <v>203</v>
      </c>
      <c r="N26" s="22" t="s">
        <v>209</v>
      </c>
      <c r="O26" s="22" t="s">
        <v>239</v>
      </c>
      <c r="P26" s="18">
        <v>1</v>
      </c>
      <c r="Q26" s="18">
        <v>15</v>
      </c>
      <c r="R26" s="18">
        <v>6</v>
      </c>
      <c r="S26" s="44">
        <f t="shared" si="2"/>
        <v>90</v>
      </c>
      <c r="T26" s="70" t="str">
        <f t="shared" si="3"/>
        <v>Ciddi Risk</v>
      </c>
      <c r="U26" s="21"/>
      <c r="V26" s="21"/>
      <c r="W26" s="21"/>
      <c r="X26" s="21"/>
      <c r="Z26" s="21"/>
      <c r="AA26" s="21"/>
      <c r="AB26" s="21"/>
      <c r="AC26" s="21"/>
      <c r="AD26" s="21"/>
      <c r="AE26" s="21"/>
      <c r="AF26" s="21"/>
      <c r="AG26" s="21"/>
      <c r="AH26" s="21"/>
    </row>
    <row r="27" spans="1:34" ht="43.2" x14ac:dyDescent="0.3">
      <c r="A27" s="80">
        <v>20</v>
      </c>
      <c r="B27" s="86"/>
      <c r="C27" s="86"/>
      <c r="D27" s="2" t="s">
        <v>221</v>
      </c>
      <c r="E27" s="44" t="s">
        <v>93</v>
      </c>
      <c r="F27" s="2" t="s">
        <v>222</v>
      </c>
      <c r="G27" s="23">
        <v>6</v>
      </c>
      <c r="H27" s="23">
        <v>3</v>
      </c>
      <c r="I27" s="23">
        <v>6</v>
      </c>
      <c r="J27" s="23">
        <f t="shared" si="7"/>
        <v>108</v>
      </c>
      <c r="K27" s="64" t="str">
        <f t="shared" si="8"/>
        <v>Ciddi Risk</v>
      </c>
      <c r="L27" s="2" t="s">
        <v>223</v>
      </c>
      <c r="M27" s="2" t="s">
        <v>12</v>
      </c>
      <c r="N27" s="22" t="s">
        <v>224</v>
      </c>
      <c r="O27" s="22" t="s">
        <v>226</v>
      </c>
      <c r="P27" s="18">
        <v>6</v>
      </c>
      <c r="Q27" s="18">
        <v>3</v>
      </c>
      <c r="R27" s="18">
        <v>6</v>
      </c>
      <c r="S27" s="44">
        <f t="shared" si="2"/>
        <v>108</v>
      </c>
      <c r="T27" s="70" t="str">
        <f t="shared" si="3"/>
        <v>Ciddi Risk</v>
      </c>
      <c r="U27" s="21"/>
      <c r="V27" s="21"/>
      <c r="W27" s="21"/>
      <c r="X27" s="21"/>
      <c r="Z27" s="21"/>
      <c r="AA27" s="21"/>
      <c r="AB27" s="21"/>
      <c r="AC27" s="21"/>
      <c r="AD27" s="21"/>
      <c r="AE27" s="21"/>
      <c r="AF27" s="21"/>
      <c r="AG27" s="21"/>
      <c r="AH27" s="21"/>
    </row>
    <row r="28" spans="1:34" ht="28.8" x14ac:dyDescent="0.3">
      <c r="A28" s="80">
        <v>21</v>
      </c>
      <c r="B28" s="87"/>
      <c r="C28" s="87"/>
      <c r="D28" s="61" t="s">
        <v>259</v>
      </c>
      <c r="E28" s="44" t="s">
        <v>212</v>
      </c>
      <c r="F28" s="2" t="s">
        <v>233</v>
      </c>
      <c r="G28" s="54">
        <v>0.5</v>
      </c>
      <c r="H28" s="54">
        <v>1</v>
      </c>
      <c r="I28" s="54">
        <v>10</v>
      </c>
      <c r="J28" s="54">
        <f t="shared" si="7"/>
        <v>5</v>
      </c>
      <c r="K28" s="65" t="str">
        <f t="shared" si="8"/>
        <v>Düşük Risk</v>
      </c>
      <c r="L28" s="53" t="s">
        <v>234</v>
      </c>
      <c r="M28" s="53" t="s">
        <v>235</v>
      </c>
      <c r="N28" s="55" t="s">
        <v>236</v>
      </c>
      <c r="O28" s="55" t="s">
        <v>237</v>
      </c>
      <c r="P28" s="18">
        <v>0.5</v>
      </c>
      <c r="Q28" s="18">
        <v>1</v>
      </c>
      <c r="R28" s="18">
        <v>10</v>
      </c>
      <c r="S28" s="44">
        <f t="shared" si="2"/>
        <v>5</v>
      </c>
      <c r="T28" s="70" t="str">
        <f t="shared" si="3"/>
        <v>Düşük Risk</v>
      </c>
      <c r="U28" s="21"/>
      <c r="V28" s="21"/>
      <c r="W28" s="21"/>
      <c r="X28" s="21"/>
      <c r="Z28" s="21"/>
      <c r="AA28" s="21"/>
      <c r="AB28" s="21"/>
      <c r="AC28" s="21"/>
      <c r="AD28" s="21"/>
      <c r="AE28" s="21"/>
      <c r="AF28" s="21"/>
      <c r="AG28" s="21"/>
      <c r="AH28" s="21"/>
    </row>
    <row r="29" spans="1:34" ht="43.2" x14ac:dyDescent="0.3">
      <c r="A29" s="80">
        <v>22</v>
      </c>
      <c r="B29" s="83" t="s">
        <v>41</v>
      </c>
      <c r="C29" s="88" t="s">
        <v>260</v>
      </c>
      <c r="D29" s="59" t="s">
        <v>261</v>
      </c>
      <c r="E29" s="1" t="s">
        <v>262</v>
      </c>
      <c r="F29" s="1" t="s">
        <v>263</v>
      </c>
      <c r="G29" s="23">
        <v>10</v>
      </c>
      <c r="H29" s="23">
        <v>100</v>
      </c>
      <c r="I29" s="23">
        <v>10</v>
      </c>
      <c r="J29" s="23">
        <f t="shared" si="7"/>
        <v>10000</v>
      </c>
      <c r="K29" s="63" t="str">
        <f t="shared" si="8"/>
        <v>Kabul Edilemez Risk</v>
      </c>
      <c r="L29" s="2" t="s">
        <v>230</v>
      </c>
      <c r="M29" s="2" t="s">
        <v>208</v>
      </c>
      <c r="N29" s="22" t="s">
        <v>16</v>
      </c>
      <c r="O29" s="22" t="s">
        <v>231</v>
      </c>
      <c r="P29" s="17">
        <v>0.5</v>
      </c>
      <c r="Q29" s="17">
        <v>15</v>
      </c>
      <c r="R29" s="17">
        <v>1</v>
      </c>
      <c r="S29" s="44">
        <f t="shared" si="2"/>
        <v>7.5</v>
      </c>
      <c r="T29" s="70" t="str">
        <f t="shared" si="3"/>
        <v>Düşük Risk</v>
      </c>
      <c r="U29" s="21"/>
      <c r="V29" s="21"/>
      <c r="W29" s="21"/>
      <c r="X29" s="21"/>
      <c r="Z29" s="21"/>
      <c r="AA29" s="21"/>
      <c r="AB29" s="21"/>
      <c r="AC29" s="21"/>
      <c r="AD29" s="21"/>
      <c r="AE29" s="21"/>
      <c r="AF29" s="21"/>
      <c r="AG29" s="21"/>
      <c r="AH29" s="21"/>
    </row>
    <row r="30" spans="1:34" ht="86.4" x14ac:dyDescent="0.3">
      <c r="A30" s="80">
        <v>23</v>
      </c>
      <c r="B30" s="83"/>
      <c r="C30" s="89"/>
      <c r="D30" s="59" t="s">
        <v>264</v>
      </c>
      <c r="E30" s="1" t="s">
        <v>254</v>
      </c>
      <c r="F30" s="3" t="s">
        <v>265</v>
      </c>
      <c r="G30" s="54">
        <v>0.5</v>
      </c>
      <c r="H30" s="54">
        <v>1</v>
      </c>
      <c r="I30" s="54">
        <v>10</v>
      </c>
      <c r="J30" s="54">
        <f t="shared" si="7"/>
        <v>5</v>
      </c>
      <c r="K30" s="65" t="str">
        <f t="shared" si="8"/>
        <v>Düşük Risk</v>
      </c>
      <c r="L30" s="3" t="s">
        <v>266</v>
      </c>
      <c r="M30" s="3" t="s">
        <v>106</v>
      </c>
      <c r="N30" s="3" t="s">
        <v>84</v>
      </c>
      <c r="O30" s="3" t="s">
        <v>268</v>
      </c>
      <c r="P30" s="17">
        <v>0.5</v>
      </c>
      <c r="Q30" s="17">
        <v>1</v>
      </c>
      <c r="R30" s="17">
        <v>10</v>
      </c>
      <c r="S30" s="44">
        <f t="shared" si="2"/>
        <v>5</v>
      </c>
      <c r="T30" s="70" t="str">
        <f t="shared" si="3"/>
        <v>Düşük Risk</v>
      </c>
      <c r="U30" s="21"/>
      <c r="V30" s="21"/>
      <c r="W30" s="21"/>
      <c r="X30" s="21"/>
      <c r="Z30" s="21"/>
      <c r="AA30" s="21"/>
      <c r="AB30" s="21"/>
      <c r="AC30" s="21"/>
      <c r="AD30" s="21"/>
      <c r="AE30" s="21"/>
      <c r="AF30" s="21"/>
      <c r="AG30" s="21"/>
      <c r="AH30" s="21"/>
    </row>
    <row r="31" spans="1:34" ht="43.2" x14ac:dyDescent="0.3">
      <c r="A31" s="80">
        <v>24</v>
      </c>
      <c r="B31" s="83"/>
      <c r="C31" s="89"/>
      <c r="D31" s="3" t="s">
        <v>269</v>
      </c>
      <c r="E31" s="1" t="s">
        <v>254</v>
      </c>
      <c r="F31" s="1" t="s">
        <v>77</v>
      </c>
      <c r="G31" s="54">
        <v>0.5</v>
      </c>
      <c r="H31" s="54">
        <v>1</v>
      </c>
      <c r="I31" s="54">
        <v>10</v>
      </c>
      <c r="J31" s="54">
        <f t="shared" si="7"/>
        <v>5</v>
      </c>
      <c r="K31" s="64" t="str">
        <f t="shared" si="6"/>
        <v>Düşük Risk</v>
      </c>
      <c r="L31" s="3" t="s">
        <v>81</v>
      </c>
      <c r="M31" s="3" t="s">
        <v>106</v>
      </c>
      <c r="N31" s="3" t="s">
        <v>84</v>
      </c>
      <c r="O31" s="22" t="s">
        <v>267</v>
      </c>
      <c r="P31" s="54">
        <v>0.5</v>
      </c>
      <c r="Q31" s="54">
        <v>1</v>
      </c>
      <c r="R31" s="54">
        <v>10</v>
      </c>
      <c r="S31" s="54">
        <f t="shared" si="2"/>
        <v>5</v>
      </c>
      <c r="T31" s="64" t="str">
        <f t="shared" si="3"/>
        <v>Düşük Risk</v>
      </c>
      <c r="U31" s="21"/>
      <c r="V31" s="21"/>
      <c r="W31" s="21"/>
      <c r="X31" s="21"/>
      <c r="Z31" s="21"/>
      <c r="AA31" s="21"/>
      <c r="AB31" s="21"/>
      <c r="AC31" s="21"/>
      <c r="AD31" s="21"/>
      <c r="AE31" s="21"/>
      <c r="AF31" s="21"/>
      <c r="AG31" s="21"/>
      <c r="AH31" s="21"/>
    </row>
    <row r="32" spans="1:34" ht="43.2" x14ac:dyDescent="0.3">
      <c r="A32" s="80">
        <v>25</v>
      </c>
      <c r="B32" s="83"/>
      <c r="C32" s="90"/>
      <c r="D32" s="22" t="s">
        <v>72</v>
      </c>
      <c r="E32" s="22" t="s">
        <v>74</v>
      </c>
      <c r="F32" s="22" t="s">
        <v>79</v>
      </c>
      <c r="G32" s="54">
        <v>0.5</v>
      </c>
      <c r="H32" s="54">
        <v>1</v>
      </c>
      <c r="I32" s="54">
        <v>10</v>
      </c>
      <c r="J32" s="54">
        <f t="shared" si="7"/>
        <v>5</v>
      </c>
      <c r="K32" s="64" t="str">
        <f t="shared" ref="K32" si="9">IF(J32&lt;=20,"Düşük Risk",IF(AND(J32&gt;20,J32&lt;=70),"Olası Risk",IF(AND(J32&gt;70,J32&lt;=200),"Ciddi Risk",IF(AND(J32&gt;200,J32&lt;=400),"Kritik Risk",IF(J32&gt;400,"Kabul Edilemez Risk","Risk Puanı Doğru Tanımlanamamıştır.")))))</f>
        <v>Düşük Risk</v>
      </c>
      <c r="L32" s="3" t="s">
        <v>82</v>
      </c>
      <c r="M32" s="3" t="s">
        <v>106</v>
      </c>
      <c r="N32" s="3" t="s">
        <v>84</v>
      </c>
      <c r="O32" s="3" t="s">
        <v>270</v>
      </c>
      <c r="P32" s="54">
        <v>0.5</v>
      </c>
      <c r="Q32" s="54">
        <v>1</v>
      </c>
      <c r="R32" s="54">
        <v>10</v>
      </c>
      <c r="S32" s="54">
        <f t="shared" si="2"/>
        <v>5</v>
      </c>
      <c r="T32" s="64" t="str">
        <f t="shared" si="3"/>
        <v>Düşük Risk</v>
      </c>
      <c r="U32" s="21"/>
      <c r="V32" s="21"/>
      <c r="W32" s="21"/>
      <c r="X32" s="21"/>
      <c r="Z32" s="21"/>
      <c r="AA32" s="21"/>
      <c r="AB32" s="21"/>
      <c r="AC32" s="21"/>
      <c r="AD32" s="21"/>
      <c r="AE32" s="21"/>
      <c r="AF32" s="21"/>
      <c r="AG32" s="21"/>
      <c r="AH32" s="21"/>
    </row>
    <row r="33" spans="1:34" ht="43.2" x14ac:dyDescent="0.3">
      <c r="A33" s="80">
        <v>26</v>
      </c>
      <c r="B33" s="83"/>
      <c r="C33" s="88" t="s">
        <v>73</v>
      </c>
      <c r="D33" s="3" t="s">
        <v>75</v>
      </c>
      <c r="E33" s="1" t="s">
        <v>78</v>
      </c>
      <c r="F33" s="1" t="s">
        <v>263</v>
      </c>
      <c r="G33" s="54">
        <v>0.5</v>
      </c>
      <c r="H33" s="54">
        <v>1</v>
      </c>
      <c r="I33" s="54">
        <v>10</v>
      </c>
      <c r="J33" s="54">
        <f t="shared" si="7"/>
        <v>5</v>
      </c>
      <c r="K33" s="64" t="str">
        <f t="shared" ref="K33" si="10">IF(J33&lt;=20,"Düşük Risk",IF(AND(J33&gt;20,J33&lt;=70),"Olası Risk",IF(AND(J33&gt;70,J33&lt;=200),"Ciddi Risk",IF(AND(J33&gt;200,J33&lt;=400),"Kritik Risk",IF(J33&gt;400,"Kabul Edilemez Risk","Risk Puanı Doğru Tanımlanamamıştır.")))))</f>
        <v>Düşük Risk</v>
      </c>
      <c r="L33" s="3" t="s">
        <v>80</v>
      </c>
      <c r="M33" s="3" t="s">
        <v>106</v>
      </c>
      <c r="N33" s="3" t="s">
        <v>84</v>
      </c>
      <c r="O33" s="3" t="s">
        <v>271</v>
      </c>
      <c r="P33" s="54">
        <v>0.5</v>
      </c>
      <c r="Q33" s="54">
        <v>1</v>
      </c>
      <c r="R33" s="54">
        <v>10</v>
      </c>
      <c r="S33" s="54">
        <f t="shared" si="2"/>
        <v>5</v>
      </c>
      <c r="T33" s="64" t="str">
        <f t="shared" si="3"/>
        <v>Düşük Risk</v>
      </c>
      <c r="U33" s="21"/>
      <c r="V33" s="21"/>
      <c r="W33" s="21"/>
      <c r="X33" s="21"/>
      <c r="Z33" s="21"/>
      <c r="AA33" s="21"/>
      <c r="AB33" s="21"/>
      <c r="AC33" s="21"/>
      <c r="AD33" s="21"/>
      <c r="AE33" s="21"/>
      <c r="AF33" s="21"/>
      <c r="AG33" s="21"/>
      <c r="AH33" s="21"/>
    </row>
    <row r="34" spans="1:34" ht="43.2" x14ac:dyDescent="0.3">
      <c r="A34" s="80">
        <v>27</v>
      </c>
      <c r="B34" s="83"/>
      <c r="C34" s="89"/>
      <c r="D34" s="3" t="s">
        <v>76</v>
      </c>
      <c r="E34" s="1" t="s">
        <v>78</v>
      </c>
      <c r="F34" s="1" t="s">
        <v>263</v>
      </c>
      <c r="G34" s="54">
        <v>0.5</v>
      </c>
      <c r="H34" s="54">
        <v>1</v>
      </c>
      <c r="I34" s="54">
        <v>10</v>
      </c>
      <c r="J34" s="54">
        <f t="shared" ref="J34:J35" si="11">G34*H34*I34</f>
        <v>5</v>
      </c>
      <c r="K34" s="64" t="str">
        <f t="shared" ref="K34:K35" si="12">IF(J34&lt;=20,"Düşük Risk",IF(AND(J34&gt;20,J34&lt;=70),"Olası Risk",IF(AND(J34&gt;70,J34&lt;=200),"Ciddi Risk",IF(AND(J34&gt;200,J34&lt;=400),"Kritik Risk",IF(J34&gt;400,"Kabul Edilemez Risk","Risk Puanı Doğru Tanımlanamamıştır.")))))</f>
        <v>Düşük Risk</v>
      </c>
      <c r="L34" s="3" t="s">
        <v>83</v>
      </c>
      <c r="M34" s="3" t="s">
        <v>106</v>
      </c>
      <c r="N34" s="3" t="s">
        <v>84</v>
      </c>
      <c r="O34" s="22" t="s">
        <v>271</v>
      </c>
      <c r="P34" s="54">
        <v>0.5</v>
      </c>
      <c r="Q34" s="54">
        <v>1</v>
      </c>
      <c r="R34" s="54">
        <v>10</v>
      </c>
      <c r="S34" s="54">
        <f t="shared" si="2"/>
        <v>5</v>
      </c>
      <c r="T34" s="64" t="str">
        <f t="shared" si="3"/>
        <v>Düşük Risk</v>
      </c>
      <c r="U34" s="21"/>
      <c r="V34" s="21"/>
      <c r="W34" s="21"/>
      <c r="X34" s="21"/>
      <c r="Z34" s="21"/>
      <c r="AA34" s="21"/>
      <c r="AB34" s="21"/>
      <c r="AC34" s="21"/>
      <c r="AD34" s="21"/>
      <c r="AE34" s="21"/>
      <c r="AF34" s="21"/>
      <c r="AG34" s="21"/>
      <c r="AH34" s="21"/>
    </row>
    <row r="35" spans="1:34" ht="28.8" x14ac:dyDescent="0.3">
      <c r="A35" s="80">
        <v>28</v>
      </c>
      <c r="B35" s="83"/>
      <c r="C35" s="89"/>
      <c r="D35" s="22" t="s">
        <v>90</v>
      </c>
      <c r="E35" s="22" t="s">
        <v>91</v>
      </c>
      <c r="F35" s="1" t="s">
        <v>92</v>
      </c>
      <c r="G35" s="54">
        <v>0.5</v>
      </c>
      <c r="H35" s="54">
        <v>1</v>
      </c>
      <c r="I35" s="54">
        <v>10</v>
      </c>
      <c r="J35" s="54">
        <f t="shared" si="11"/>
        <v>5</v>
      </c>
      <c r="K35" s="64" t="str">
        <f t="shared" si="12"/>
        <v>Düşük Risk</v>
      </c>
      <c r="L35" s="3" t="s">
        <v>141</v>
      </c>
      <c r="M35" s="3" t="s">
        <v>107</v>
      </c>
      <c r="N35" s="17" t="s">
        <v>16</v>
      </c>
      <c r="O35" s="22" t="s">
        <v>272</v>
      </c>
      <c r="P35" s="54">
        <v>0.5</v>
      </c>
      <c r="Q35" s="54">
        <v>1</v>
      </c>
      <c r="R35" s="54">
        <v>10</v>
      </c>
      <c r="S35" s="54">
        <f t="shared" si="2"/>
        <v>5</v>
      </c>
      <c r="T35" s="64" t="str">
        <f t="shared" si="3"/>
        <v>Düşük Risk</v>
      </c>
      <c r="U35" s="21"/>
      <c r="V35" s="21"/>
      <c r="W35" s="21"/>
      <c r="X35" s="21"/>
      <c r="Z35" s="21"/>
      <c r="AA35" s="21"/>
      <c r="AB35" s="21"/>
      <c r="AC35" s="21"/>
      <c r="AD35" s="21"/>
      <c r="AE35" s="21"/>
      <c r="AF35" s="21"/>
      <c r="AG35" s="21"/>
      <c r="AH35" s="21"/>
    </row>
    <row r="36" spans="1:34" ht="28.8" x14ac:dyDescent="0.3">
      <c r="A36" s="80">
        <v>29</v>
      </c>
      <c r="B36" s="83"/>
      <c r="C36" s="89"/>
      <c r="D36" s="22" t="s">
        <v>89</v>
      </c>
      <c r="E36" s="1" t="s">
        <v>78</v>
      </c>
      <c r="F36" s="17" t="s">
        <v>273</v>
      </c>
      <c r="G36" s="54">
        <v>0.5</v>
      </c>
      <c r="H36" s="54">
        <v>1</v>
      </c>
      <c r="I36" s="54">
        <v>10</v>
      </c>
      <c r="J36" s="54">
        <f t="shared" ref="J36" si="13">G36*H36*I36</f>
        <v>5</v>
      </c>
      <c r="K36" s="64" t="str">
        <f t="shared" ref="K36" si="14">IF(J36&lt;=20,"Düşük Risk",IF(AND(J36&gt;20,J36&lt;=70),"Olası Risk",IF(AND(J36&gt;70,J36&lt;=200),"Ciddi Risk",IF(AND(J36&gt;200,J36&lt;=400),"Kritik Risk",IF(J36&gt;400,"Kabul Edilemez Risk","Risk Puanı Doğru Tanımlanamamıştır.")))))</f>
        <v>Düşük Risk</v>
      </c>
      <c r="L36" s="3" t="s">
        <v>141</v>
      </c>
      <c r="M36" s="17" t="s">
        <v>11</v>
      </c>
      <c r="N36" s="17" t="s">
        <v>16</v>
      </c>
      <c r="O36" s="22" t="s">
        <v>272</v>
      </c>
      <c r="P36" s="54">
        <v>0.5</v>
      </c>
      <c r="Q36" s="54">
        <v>1</v>
      </c>
      <c r="R36" s="54">
        <v>10</v>
      </c>
      <c r="S36" s="54">
        <f t="shared" si="2"/>
        <v>5</v>
      </c>
      <c r="T36" s="64" t="str">
        <f t="shared" si="3"/>
        <v>Düşük Risk</v>
      </c>
      <c r="U36" s="21"/>
      <c r="V36" s="21"/>
      <c r="W36" s="21"/>
      <c r="X36" s="21"/>
      <c r="Z36" s="21"/>
      <c r="AA36" s="21"/>
      <c r="AB36" s="21"/>
      <c r="AC36" s="21"/>
      <c r="AD36" s="21"/>
      <c r="AE36" s="21"/>
      <c r="AF36" s="21"/>
      <c r="AG36" s="21"/>
      <c r="AH36" s="21"/>
    </row>
    <row r="37" spans="1:34" x14ac:dyDescent="0.3">
      <c r="A37" s="80">
        <v>30</v>
      </c>
      <c r="B37" s="83"/>
      <c r="C37" s="90"/>
      <c r="D37" s="3" t="s">
        <v>138</v>
      </c>
      <c r="E37" s="1" t="s">
        <v>139</v>
      </c>
      <c r="F37" s="22" t="s">
        <v>247</v>
      </c>
      <c r="G37" s="54">
        <v>0.5</v>
      </c>
      <c r="H37" s="54">
        <v>1</v>
      </c>
      <c r="I37" s="54">
        <v>10</v>
      </c>
      <c r="J37" s="54">
        <f t="shared" ref="J37" si="15">G37*H37*I37</f>
        <v>5</v>
      </c>
      <c r="K37" s="64" t="str">
        <f t="shared" ref="K37" si="16">IF(J37&lt;=20,"Düşük Risk",IF(AND(J37&gt;20,J37&lt;=70),"Olası Risk",IF(AND(J37&gt;70,J37&lt;=200),"Ciddi Risk",IF(AND(J37&gt;200,J37&lt;=400),"Kritik Risk",IF(J37&gt;400,"Kabul Edilemez Risk","Risk Puanı Doğru Tanımlanamamıştır.")))))</f>
        <v>Düşük Risk</v>
      </c>
      <c r="L37" s="3" t="s">
        <v>124</v>
      </c>
      <c r="M37" s="17" t="s">
        <v>107</v>
      </c>
      <c r="N37" s="17" t="s">
        <v>16</v>
      </c>
      <c r="O37" s="22" t="s">
        <v>274</v>
      </c>
      <c r="P37" s="54">
        <v>0.5</v>
      </c>
      <c r="Q37" s="54">
        <v>1</v>
      </c>
      <c r="R37" s="54">
        <v>10</v>
      </c>
      <c r="S37" s="54">
        <f t="shared" si="2"/>
        <v>5</v>
      </c>
      <c r="T37" s="64" t="str">
        <f t="shared" si="3"/>
        <v>Düşük Risk</v>
      </c>
      <c r="U37" s="21"/>
      <c r="V37" s="21"/>
      <c r="W37" s="21"/>
      <c r="X37" s="21"/>
      <c r="Z37" s="21"/>
      <c r="AA37" s="21"/>
      <c r="AB37" s="21"/>
      <c r="AC37" s="21"/>
      <c r="AD37" s="21"/>
      <c r="AE37" s="21"/>
      <c r="AF37" s="21"/>
      <c r="AG37" s="21"/>
      <c r="AH37" s="21"/>
    </row>
    <row r="38" spans="1:34" ht="43.2" x14ac:dyDescent="0.3">
      <c r="A38" s="80">
        <v>31</v>
      </c>
      <c r="B38" s="83" t="s">
        <v>109</v>
      </c>
      <c r="C38" s="3" t="s">
        <v>112</v>
      </c>
      <c r="D38" s="3" t="s">
        <v>111</v>
      </c>
      <c r="E38" s="1" t="s">
        <v>275</v>
      </c>
      <c r="F38" s="22" t="s">
        <v>276</v>
      </c>
      <c r="G38" s="54">
        <v>0.5</v>
      </c>
      <c r="H38" s="54">
        <v>1</v>
      </c>
      <c r="I38" s="54">
        <v>10</v>
      </c>
      <c r="J38" s="54">
        <f t="shared" ref="J38" si="17">G38*H38*I38</f>
        <v>5</v>
      </c>
      <c r="K38" s="64" t="str">
        <f t="shared" ref="K38" si="18">IF(J38&lt;=20,"Düşük Risk",IF(AND(J38&gt;20,J38&lt;=70),"Olası Risk",IF(AND(J38&gt;70,J38&lt;=200),"Ciddi Risk",IF(AND(J38&gt;200,J38&lt;=400),"Kritik Risk",IF(J38&gt;400,"Kabul Edilemez Risk","Risk Puanı Doğru Tanımlanamamıştır.")))))</f>
        <v>Düşük Risk</v>
      </c>
      <c r="L38" s="3" t="s">
        <v>277</v>
      </c>
      <c r="M38" s="17" t="s">
        <v>112</v>
      </c>
      <c r="N38" s="3" t="s">
        <v>84</v>
      </c>
      <c r="O38" s="3" t="s">
        <v>278</v>
      </c>
      <c r="P38" s="54">
        <v>0.5</v>
      </c>
      <c r="Q38" s="54">
        <v>1</v>
      </c>
      <c r="R38" s="54">
        <v>10</v>
      </c>
      <c r="S38" s="54">
        <f t="shared" si="2"/>
        <v>5</v>
      </c>
      <c r="T38" s="64" t="str">
        <f t="shared" si="3"/>
        <v>Düşük Risk</v>
      </c>
      <c r="U38" s="21"/>
      <c r="V38" s="21"/>
      <c r="W38" s="21"/>
      <c r="X38" s="21"/>
      <c r="Z38" s="21"/>
      <c r="AA38" s="21"/>
      <c r="AB38" s="21"/>
      <c r="AC38" s="21"/>
      <c r="AD38" s="21"/>
      <c r="AE38" s="21"/>
      <c r="AF38" s="21"/>
      <c r="AG38" s="21"/>
      <c r="AH38" s="21"/>
    </row>
    <row r="39" spans="1:34" x14ac:dyDescent="0.3">
      <c r="A39" s="80">
        <v>32</v>
      </c>
      <c r="B39" s="83"/>
      <c r="C39" s="3" t="s">
        <v>112</v>
      </c>
      <c r="D39" s="3" t="s">
        <v>110</v>
      </c>
      <c r="E39" s="1" t="s">
        <v>113</v>
      </c>
      <c r="F39" s="22" t="s">
        <v>276</v>
      </c>
      <c r="G39" s="54">
        <v>0.5</v>
      </c>
      <c r="H39" s="54">
        <v>1</v>
      </c>
      <c r="I39" s="54">
        <v>10</v>
      </c>
      <c r="J39" s="54">
        <f t="shared" ref="J39" si="19">G39*H39*I39</f>
        <v>5</v>
      </c>
      <c r="K39" s="64" t="str">
        <f t="shared" ref="K39" si="20">IF(J39&lt;=20,"Düşük Risk",IF(AND(J39&gt;20,J39&lt;=70),"Olası Risk",IF(AND(J39&gt;70,J39&lt;=200),"Ciddi Risk",IF(AND(J39&gt;200,J39&lt;=400),"Kritik Risk",IF(J39&gt;400,"Kabul Edilemez Risk","Risk Puanı Doğru Tanımlanamamıştır.")))))</f>
        <v>Düşük Risk</v>
      </c>
      <c r="L39" s="3" t="s">
        <v>124</v>
      </c>
      <c r="M39" s="17" t="s">
        <v>112</v>
      </c>
      <c r="N39" s="17" t="s">
        <v>16</v>
      </c>
      <c r="O39" s="22" t="s">
        <v>279</v>
      </c>
      <c r="P39" s="54">
        <v>0.5</v>
      </c>
      <c r="Q39" s="54">
        <v>1</v>
      </c>
      <c r="R39" s="54">
        <v>10</v>
      </c>
      <c r="S39" s="54">
        <f t="shared" si="2"/>
        <v>5</v>
      </c>
      <c r="T39" s="64" t="str">
        <f t="shared" si="3"/>
        <v>Düşük Risk</v>
      </c>
      <c r="U39" s="21"/>
      <c r="V39" s="21"/>
      <c r="W39" s="21"/>
      <c r="X39" s="21"/>
      <c r="Z39" s="21"/>
      <c r="AA39" s="21"/>
      <c r="AB39" s="21"/>
      <c r="AC39" s="21"/>
      <c r="AD39" s="21"/>
      <c r="AE39" s="21"/>
      <c r="AF39" s="21"/>
      <c r="AG39" s="21"/>
      <c r="AH39" s="21"/>
    </row>
    <row r="40" spans="1:34" ht="100.8" x14ac:dyDescent="0.3">
      <c r="A40" s="80">
        <v>33</v>
      </c>
      <c r="B40" s="4" t="s">
        <v>42</v>
      </c>
      <c r="C40" s="2" t="s">
        <v>17</v>
      </c>
      <c r="D40" s="2" t="s">
        <v>280</v>
      </c>
      <c r="E40" s="1" t="s">
        <v>281</v>
      </c>
      <c r="F40" s="22" t="s">
        <v>276</v>
      </c>
      <c r="G40" s="5">
        <v>1</v>
      </c>
      <c r="H40" s="5">
        <v>3</v>
      </c>
      <c r="I40" s="5">
        <v>3</v>
      </c>
      <c r="J40" s="5">
        <f t="shared" si="4"/>
        <v>9</v>
      </c>
      <c r="K40" s="64" t="str">
        <f t="shared" si="6"/>
        <v>Düşük Risk</v>
      </c>
      <c r="L40" s="2" t="s">
        <v>18</v>
      </c>
      <c r="M40" s="3" t="s">
        <v>12</v>
      </c>
      <c r="N40" s="17" t="s">
        <v>16</v>
      </c>
      <c r="O40" s="22" t="s">
        <v>282</v>
      </c>
      <c r="P40" s="62">
        <v>1</v>
      </c>
      <c r="Q40" s="62">
        <v>3</v>
      </c>
      <c r="R40" s="62">
        <v>3</v>
      </c>
      <c r="S40" s="62">
        <f t="shared" si="2"/>
        <v>9</v>
      </c>
      <c r="T40" s="64" t="str">
        <f t="shared" si="3"/>
        <v>Düşük Risk</v>
      </c>
      <c r="U40" s="21"/>
      <c r="V40" s="21"/>
      <c r="W40" s="21"/>
      <c r="X40" s="21"/>
      <c r="Z40" s="21"/>
      <c r="AA40" s="21"/>
      <c r="AB40" s="21"/>
      <c r="AC40" s="21"/>
      <c r="AD40" s="21"/>
      <c r="AE40" s="21"/>
      <c r="AF40" s="21"/>
      <c r="AG40" s="21"/>
      <c r="AH40" s="21"/>
    </row>
    <row r="41" spans="1:34" ht="43.2" x14ac:dyDescent="0.3">
      <c r="A41" s="80">
        <v>34</v>
      </c>
      <c r="B41" s="4" t="s">
        <v>86</v>
      </c>
      <c r="C41" s="2" t="s">
        <v>87</v>
      </c>
      <c r="D41" s="2" t="s">
        <v>88</v>
      </c>
      <c r="E41" s="1" t="s">
        <v>139</v>
      </c>
      <c r="F41" s="22" t="s">
        <v>283</v>
      </c>
      <c r="G41" s="51">
        <v>1</v>
      </c>
      <c r="H41" s="51">
        <v>3</v>
      </c>
      <c r="I41" s="51">
        <v>3</v>
      </c>
      <c r="J41" s="51">
        <f t="shared" ref="J41" si="21">G41*H41*I41</f>
        <v>9</v>
      </c>
      <c r="K41" s="64" t="str">
        <f t="shared" ref="K41:K43" si="22">IF(J41&lt;=20,"Düşük Risk",IF(AND(J41&gt;20,J41&lt;=70),"Olası Risk",IF(AND(J41&gt;70,J41&lt;=200),"Ciddi Risk",IF(AND(J41&gt;200,J41&lt;=400),"Kritik Risk",IF(J41&gt;400,"Kabul Edilemez Risk","Risk Puanı Doğru Tanımlanamamıştır.")))))</f>
        <v>Düşük Risk</v>
      </c>
      <c r="L41" s="3" t="s">
        <v>125</v>
      </c>
      <c r="M41" s="3" t="s">
        <v>12</v>
      </c>
      <c r="N41" s="3" t="s">
        <v>84</v>
      </c>
      <c r="O41" s="3" t="s">
        <v>271</v>
      </c>
      <c r="P41" s="62">
        <v>1</v>
      </c>
      <c r="Q41" s="62">
        <v>3</v>
      </c>
      <c r="R41" s="62">
        <v>3</v>
      </c>
      <c r="S41" s="62">
        <f t="shared" si="2"/>
        <v>9</v>
      </c>
      <c r="T41" s="64" t="str">
        <f t="shared" si="3"/>
        <v>Düşük Risk</v>
      </c>
      <c r="U41" s="21"/>
      <c r="V41" s="21"/>
      <c r="W41" s="21"/>
      <c r="X41" s="21"/>
      <c r="Z41" s="21"/>
      <c r="AA41" s="21"/>
      <c r="AB41" s="21"/>
      <c r="AC41" s="21"/>
      <c r="AD41" s="21"/>
      <c r="AE41" s="21"/>
      <c r="AF41" s="21"/>
      <c r="AG41" s="21"/>
      <c r="AH41" s="21"/>
    </row>
    <row r="42" spans="1:34" ht="100.8" x14ac:dyDescent="0.3">
      <c r="A42" s="80">
        <v>35</v>
      </c>
      <c r="B42" s="109" t="s">
        <v>19</v>
      </c>
      <c r="C42" s="2" t="s">
        <v>20</v>
      </c>
      <c r="D42" s="2" t="s">
        <v>43</v>
      </c>
      <c r="E42" s="2" t="s">
        <v>32</v>
      </c>
      <c r="F42" s="2" t="s">
        <v>21</v>
      </c>
      <c r="G42" s="5">
        <v>3</v>
      </c>
      <c r="H42" s="5">
        <v>3</v>
      </c>
      <c r="I42" s="5">
        <v>6</v>
      </c>
      <c r="J42" s="5">
        <f t="shared" si="4"/>
        <v>54</v>
      </c>
      <c r="K42" s="64" t="str">
        <f t="shared" si="22"/>
        <v>Olası Risk</v>
      </c>
      <c r="L42" s="3" t="s">
        <v>35</v>
      </c>
      <c r="M42" s="17" t="s">
        <v>19</v>
      </c>
      <c r="N42" s="3" t="s">
        <v>56</v>
      </c>
      <c r="O42" s="3" t="s">
        <v>284</v>
      </c>
      <c r="P42" s="62">
        <v>1</v>
      </c>
      <c r="Q42" s="62">
        <v>3</v>
      </c>
      <c r="R42" s="62">
        <v>3</v>
      </c>
      <c r="S42" s="62">
        <f t="shared" ref="S42:S43" si="23">P42*Q42*R42</f>
        <v>9</v>
      </c>
      <c r="T42" s="64" t="str">
        <f t="shared" si="3"/>
        <v>Düşük Risk</v>
      </c>
      <c r="U42" s="21"/>
      <c r="V42" s="21"/>
      <c r="W42" s="21"/>
      <c r="X42" s="21"/>
      <c r="Z42" s="21"/>
      <c r="AA42" s="21"/>
      <c r="AB42" s="21"/>
      <c r="AC42" s="21"/>
      <c r="AD42" s="21"/>
      <c r="AE42" s="21"/>
      <c r="AF42" s="21"/>
      <c r="AG42" s="21"/>
      <c r="AH42" s="21"/>
    </row>
    <row r="43" spans="1:34" ht="65.400000000000006" customHeight="1" x14ac:dyDescent="0.3">
      <c r="A43" s="80">
        <v>36</v>
      </c>
      <c r="B43" s="123"/>
      <c r="C43" s="2" t="s">
        <v>362</v>
      </c>
      <c r="D43" s="2" t="s">
        <v>363</v>
      </c>
      <c r="E43" s="2" t="s">
        <v>364</v>
      </c>
      <c r="F43" s="2" t="s">
        <v>365</v>
      </c>
      <c r="G43" s="81">
        <v>3</v>
      </c>
      <c r="H43" s="81">
        <v>2</v>
      </c>
      <c r="I43" s="81">
        <v>3</v>
      </c>
      <c r="J43" s="81">
        <f t="shared" si="4"/>
        <v>18</v>
      </c>
      <c r="K43" s="64" t="str">
        <f t="shared" si="22"/>
        <v>Düşük Risk</v>
      </c>
      <c r="L43" s="22" t="s">
        <v>366</v>
      </c>
      <c r="M43" s="79" t="s">
        <v>19</v>
      </c>
      <c r="N43" s="79" t="s">
        <v>16</v>
      </c>
      <c r="O43" s="22" t="s">
        <v>367</v>
      </c>
      <c r="P43" s="81">
        <v>1</v>
      </c>
      <c r="Q43" s="81">
        <v>2</v>
      </c>
      <c r="R43" s="81">
        <v>2</v>
      </c>
      <c r="S43" s="81">
        <f t="shared" si="23"/>
        <v>4</v>
      </c>
      <c r="T43" s="64" t="str">
        <f t="shared" si="3"/>
        <v>Düşük Risk</v>
      </c>
      <c r="U43" s="21"/>
      <c r="V43" s="21"/>
      <c r="W43" s="21"/>
      <c r="X43" s="21"/>
      <c r="Z43" s="21"/>
      <c r="AA43" s="21"/>
      <c r="AB43" s="21"/>
      <c r="AC43" s="21"/>
      <c r="AD43" s="21"/>
      <c r="AE43" s="21"/>
      <c r="AF43" s="21"/>
      <c r="AG43" s="21"/>
      <c r="AH43" s="21"/>
    </row>
    <row r="44" spans="1:34" ht="43.2" x14ac:dyDescent="0.3">
      <c r="A44" s="80">
        <v>37</v>
      </c>
      <c r="B44" s="110"/>
      <c r="C44" s="3" t="s">
        <v>24</v>
      </c>
      <c r="D44" s="3" t="s">
        <v>25</v>
      </c>
      <c r="E44" s="3" t="s">
        <v>32</v>
      </c>
      <c r="F44" s="22" t="s">
        <v>33</v>
      </c>
      <c r="G44" s="51">
        <v>3</v>
      </c>
      <c r="H44" s="51">
        <v>3</v>
      </c>
      <c r="I44" s="51">
        <v>6</v>
      </c>
      <c r="J44" s="51">
        <f t="shared" ref="J44" si="24">G44*H44*I44</f>
        <v>54</v>
      </c>
      <c r="K44" s="64" t="str">
        <f t="shared" ref="K44" si="25">IF(J44&lt;=20,"Düşük Risk",IF(AND(J44&gt;20,J44&lt;=70),"Olası Risk",IF(AND(J44&gt;70,J44&lt;=200),"Ciddi Risk",IF(AND(J44&gt;200,J44&lt;=400),"Kritik Risk",IF(J44&gt;400,"Kabul Edilemez Risk","Risk Puanı Doğru Tanımlanamamıştır.")))))</f>
        <v>Olası Risk</v>
      </c>
      <c r="L44" s="3" t="s">
        <v>57</v>
      </c>
      <c r="M44" s="5" t="s">
        <v>23</v>
      </c>
      <c r="N44" s="17" t="s">
        <v>16</v>
      </c>
      <c r="O44" s="22" t="s">
        <v>284</v>
      </c>
      <c r="P44" s="17">
        <v>0.1</v>
      </c>
      <c r="Q44" s="17">
        <v>3</v>
      </c>
      <c r="R44" s="17">
        <v>6</v>
      </c>
      <c r="S44" s="44">
        <f t="shared" si="2"/>
        <v>1.8000000000000003</v>
      </c>
      <c r="T44" s="70" t="str">
        <f t="shared" si="3"/>
        <v>Düşük Risk</v>
      </c>
      <c r="U44" s="21"/>
      <c r="V44" s="21"/>
      <c r="W44" s="21"/>
      <c r="X44" s="21"/>
      <c r="Z44" s="21"/>
      <c r="AA44" s="21"/>
      <c r="AB44" s="21"/>
      <c r="AC44" s="21"/>
      <c r="AD44" s="21"/>
      <c r="AE44" s="21"/>
      <c r="AF44" s="21"/>
      <c r="AG44" s="21"/>
      <c r="AH44" s="21"/>
    </row>
    <row r="45" spans="1:34" ht="43.2" x14ac:dyDescent="0.3">
      <c r="A45" s="80">
        <v>38</v>
      </c>
      <c r="B45" s="84" t="s">
        <v>26</v>
      </c>
      <c r="C45" s="3" t="s">
        <v>27</v>
      </c>
      <c r="D45" s="3" t="s">
        <v>28</v>
      </c>
      <c r="E45" s="3" t="s">
        <v>32</v>
      </c>
      <c r="F45" s="22" t="s">
        <v>276</v>
      </c>
      <c r="G45" s="51">
        <v>3</v>
      </c>
      <c r="H45" s="51">
        <v>3</v>
      </c>
      <c r="I45" s="51">
        <v>6</v>
      </c>
      <c r="J45" s="51">
        <f t="shared" ref="J45:J46" si="26">G45*H45*I45</f>
        <v>54</v>
      </c>
      <c r="K45" s="64" t="str">
        <f t="shared" ref="K45:K46" si="27">IF(J45&lt;=20,"Düşük Risk",IF(AND(J45&gt;20,J45&lt;=70),"Olası Risk",IF(AND(J45&gt;70,J45&lt;=200),"Ciddi Risk",IF(AND(J45&gt;200,J45&lt;=400),"Kritik Risk",IF(J45&gt;400,"Kabul Edilemez Risk","Risk Puanı Doğru Tanımlanamamıştır.")))))</f>
        <v>Olası Risk</v>
      </c>
      <c r="L45" s="22" t="s">
        <v>34</v>
      </c>
      <c r="M45" s="17" t="s">
        <v>26</v>
      </c>
      <c r="N45" s="17" t="s">
        <v>16</v>
      </c>
      <c r="O45" s="22" t="s">
        <v>285</v>
      </c>
      <c r="P45" s="17">
        <v>1</v>
      </c>
      <c r="Q45" s="17">
        <v>3</v>
      </c>
      <c r="R45" s="17">
        <v>3</v>
      </c>
      <c r="S45" s="44">
        <f t="shared" si="2"/>
        <v>9</v>
      </c>
      <c r="T45" s="70" t="str">
        <f t="shared" si="3"/>
        <v>Düşük Risk</v>
      </c>
      <c r="U45" s="21"/>
      <c r="V45" s="21"/>
      <c r="W45" s="21"/>
      <c r="X45" s="21"/>
      <c r="Z45" s="21"/>
      <c r="AA45" s="21"/>
      <c r="AB45" s="21"/>
      <c r="AC45" s="21"/>
      <c r="AD45" s="21"/>
      <c r="AE45" s="21"/>
      <c r="AF45" s="21"/>
      <c r="AG45" s="21"/>
      <c r="AH45" s="21"/>
    </row>
    <row r="46" spans="1:34" ht="60" customHeight="1" x14ac:dyDescent="0.3">
      <c r="A46" s="80">
        <v>39</v>
      </c>
      <c r="B46" s="84"/>
      <c r="C46" s="22" t="s">
        <v>357</v>
      </c>
      <c r="D46" s="22" t="s">
        <v>358</v>
      </c>
      <c r="E46" s="22" t="s">
        <v>359</v>
      </c>
      <c r="F46" s="22" t="s">
        <v>360</v>
      </c>
      <c r="G46" s="81">
        <v>1</v>
      </c>
      <c r="H46" s="81">
        <v>3</v>
      </c>
      <c r="I46" s="81">
        <v>3</v>
      </c>
      <c r="J46" s="81">
        <f t="shared" si="26"/>
        <v>9</v>
      </c>
      <c r="K46" s="64" t="str">
        <f t="shared" si="27"/>
        <v>Düşük Risk</v>
      </c>
      <c r="L46" s="22" t="s">
        <v>361</v>
      </c>
      <c r="M46" s="79" t="s">
        <v>26</v>
      </c>
      <c r="N46" s="79" t="s">
        <v>16</v>
      </c>
      <c r="O46" s="22"/>
      <c r="P46" s="79"/>
      <c r="Q46" s="79"/>
      <c r="R46" s="79"/>
      <c r="S46" s="44"/>
      <c r="T46" s="70"/>
      <c r="U46" s="21"/>
      <c r="V46" s="21"/>
      <c r="W46" s="21"/>
      <c r="X46" s="21"/>
      <c r="Z46" s="21"/>
      <c r="AA46" s="21"/>
      <c r="AB46" s="21"/>
      <c r="AC46" s="21"/>
      <c r="AD46" s="21"/>
      <c r="AE46" s="21"/>
      <c r="AF46" s="21"/>
      <c r="AG46" s="21"/>
      <c r="AH46" s="21"/>
    </row>
    <row r="47" spans="1:34" ht="57.6" x14ac:dyDescent="0.3">
      <c r="A47" s="80">
        <v>40</v>
      </c>
      <c r="B47" s="84"/>
      <c r="C47" s="3" t="s">
        <v>100</v>
      </c>
      <c r="D47" s="3" t="s">
        <v>101</v>
      </c>
      <c r="E47" s="1" t="s">
        <v>139</v>
      </c>
      <c r="F47" s="22" t="s">
        <v>283</v>
      </c>
      <c r="G47" s="51">
        <v>3</v>
      </c>
      <c r="H47" s="51">
        <v>3</v>
      </c>
      <c r="I47" s="51">
        <v>6</v>
      </c>
      <c r="J47" s="51">
        <f t="shared" ref="J47:J48" si="28">G47*H47*I47</f>
        <v>54</v>
      </c>
      <c r="K47" s="64" t="str">
        <f t="shared" ref="K47:K48" si="29">IF(J47&lt;=20,"Düşük Risk",IF(AND(J47&gt;20,J47&lt;=70),"Olası Risk",IF(AND(J47&gt;70,J47&lt;=200),"Ciddi Risk",IF(AND(J47&gt;200,J47&lt;=400),"Kritik Risk",IF(J47&gt;400,"Kabul Edilemez Risk","Risk Puanı Doğru Tanımlanamamıştır.")))))</f>
        <v>Olası Risk</v>
      </c>
      <c r="L47" s="3" t="s">
        <v>103</v>
      </c>
      <c r="M47" s="17" t="s">
        <v>26</v>
      </c>
      <c r="N47" s="17" t="s">
        <v>16</v>
      </c>
      <c r="O47" s="22" t="s">
        <v>286</v>
      </c>
      <c r="P47" s="17">
        <v>1</v>
      </c>
      <c r="Q47" s="17">
        <v>3</v>
      </c>
      <c r="R47" s="17">
        <v>3</v>
      </c>
      <c r="S47" s="44">
        <f t="shared" si="2"/>
        <v>9</v>
      </c>
      <c r="T47" s="70" t="str">
        <f t="shared" si="3"/>
        <v>Düşük Risk</v>
      </c>
      <c r="U47" s="21"/>
      <c r="V47" s="21"/>
      <c r="W47" s="21"/>
      <c r="X47" s="21"/>
      <c r="Z47" s="21"/>
      <c r="AA47" s="21"/>
      <c r="AB47" s="21"/>
      <c r="AC47" s="21"/>
      <c r="AD47" s="21"/>
      <c r="AE47" s="21"/>
      <c r="AF47" s="21"/>
      <c r="AG47" s="21"/>
      <c r="AH47" s="21"/>
    </row>
    <row r="48" spans="1:34" ht="67.2" customHeight="1" x14ac:dyDescent="0.3">
      <c r="A48" s="80">
        <v>41</v>
      </c>
      <c r="B48" s="5" t="s">
        <v>29</v>
      </c>
      <c r="C48" s="17" t="s">
        <v>30</v>
      </c>
      <c r="D48" s="3" t="s">
        <v>31</v>
      </c>
      <c r="E48" s="2" t="s">
        <v>32</v>
      </c>
      <c r="F48" s="22" t="s">
        <v>276</v>
      </c>
      <c r="G48" s="51">
        <v>1</v>
      </c>
      <c r="H48" s="51">
        <v>3</v>
      </c>
      <c r="I48" s="51">
        <v>3</v>
      </c>
      <c r="J48" s="51">
        <f t="shared" si="28"/>
        <v>9</v>
      </c>
      <c r="K48" s="64" t="str">
        <f t="shared" si="29"/>
        <v>Düşük Risk</v>
      </c>
      <c r="L48" s="22" t="s">
        <v>287</v>
      </c>
      <c r="M48" s="5" t="s">
        <v>29</v>
      </c>
      <c r="N48" s="60">
        <v>46387</v>
      </c>
      <c r="O48" s="17"/>
      <c r="P48" s="17"/>
      <c r="Q48" s="17"/>
      <c r="R48" s="17"/>
      <c r="S48" s="44"/>
      <c r="T48" s="70"/>
      <c r="U48" s="71" t="s">
        <v>295</v>
      </c>
      <c r="V48" s="21"/>
      <c r="W48" s="21"/>
      <c r="X48" s="21"/>
      <c r="Z48" s="21"/>
      <c r="AA48" s="21"/>
      <c r="AB48" s="21"/>
      <c r="AC48" s="21"/>
      <c r="AD48" s="21"/>
      <c r="AE48" s="21"/>
      <c r="AF48" s="21"/>
      <c r="AG48" s="21"/>
      <c r="AH48" s="21"/>
    </row>
    <row r="49" spans="1:34" ht="67.2" customHeight="1" x14ac:dyDescent="0.3">
      <c r="A49" s="80">
        <v>42</v>
      </c>
      <c r="B49" s="125" t="s">
        <v>44</v>
      </c>
      <c r="C49" s="22" t="s">
        <v>399</v>
      </c>
      <c r="D49" s="22" t="s">
        <v>400</v>
      </c>
      <c r="E49" s="2" t="s">
        <v>401</v>
      </c>
      <c r="F49" s="22" t="s">
        <v>402</v>
      </c>
      <c r="G49" s="81">
        <v>3</v>
      </c>
      <c r="H49" s="81">
        <v>2</v>
      </c>
      <c r="I49" s="81">
        <v>3</v>
      </c>
      <c r="J49" s="81">
        <f t="shared" ref="J49:J50" si="30">G49*H49*I49</f>
        <v>18</v>
      </c>
      <c r="K49" s="64" t="str">
        <f t="shared" ref="K49:K50" si="31">IF(J49&lt;=20,"Düşük Risk",IF(AND(J49&gt;20,J49&lt;=70),"Olası Risk",IF(AND(J49&gt;70,J49&lt;=200),"Ciddi Risk",IF(AND(J49&gt;200,J49&lt;=400),"Kritik Risk",IF(J49&gt;400,"Kabul Edilemez Risk","Risk Puanı Doğru Tanımlanamamıştır.")))))</f>
        <v>Düşük Risk</v>
      </c>
      <c r="L49" s="22" t="s">
        <v>403</v>
      </c>
      <c r="M49" s="81" t="s">
        <v>44</v>
      </c>
      <c r="N49" s="79" t="s">
        <v>16</v>
      </c>
      <c r="O49" s="79"/>
      <c r="P49" s="79">
        <v>2</v>
      </c>
      <c r="Q49" s="79">
        <v>1</v>
      </c>
      <c r="R49" s="79">
        <v>2</v>
      </c>
      <c r="S49" s="44">
        <f t="shared" ref="S49" si="32">P49*Q49*R49</f>
        <v>4</v>
      </c>
      <c r="T49" s="70" t="str">
        <f t="shared" ref="T49" si="33">IF(S49&lt;=20,"Düşük Risk",IF(AND(S49&gt;20,S49&lt;=70),"Olası Risk",IF(AND(S49&gt;70,S49&lt;=200),"Ciddi Risk",IF(AND(S49&gt;200,S49&lt;=400),"Kritik Risk",IF(S49&gt;400,"Kabul Edilemez Risk","Risk Puanı Doğru Tanımlanamamıştır.")))))</f>
        <v>Düşük Risk</v>
      </c>
      <c r="U49" s="71"/>
      <c r="V49" s="21"/>
      <c r="W49" s="21"/>
      <c r="X49" s="21"/>
      <c r="Z49" s="21"/>
      <c r="AA49" s="21"/>
      <c r="AB49" s="21"/>
      <c r="AC49" s="21"/>
      <c r="AD49" s="21"/>
      <c r="AE49" s="21"/>
      <c r="AF49" s="21"/>
      <c r="AG49" s="21"/>
      <c r="AH49" s="21"/>
    </row>
    <row r="50" spans="1:34" ht="67.2" customHeight="1" x14ac:dyDescent="0.3">
      <c r="A50" s="80">
        <v>43</v>
      </c>
      <c r="B50" s="127"/>
      <c r="C50" s="22" t="s">
        <v>404</v>
      </c>
      <c r="D50" s="22" t="s">
        <v>405</v>
      </c>
      <c r="E50" s="2" t="s">
        <v>406</v>
      </c>
      <c r="F50" s="22" t="s">
        <v>407</v>
      </c>
      <c r="G50" s="81">
        <v>2</v>
      </c>
      <c r="H50" s="81">
        <v>3</v>
      </c>
      <c r="I50" s="81">
        <v>2</v>
      </c>
      <c r="J50" s="81">
        <f t="shared" si="30"/>
        <v>12</v>
      </c>
      <c r="K50" s="64" t="str">
        <f t="shared" si="31"/>
        <v>Düşük Risk</v>
      </c>
      <c r="L50" s="22" t="s">
        <v>408</v>
      </c>
      <c r="M50" s="81" t="s">
        <v>44</v>
      </c>
      <c r="N50" s="79" t="s">
        <v>16</v>
      </c>
      <c r="O50" s="79"/>
      <c r="P50" s="79">
        <v>1</v>
      </c>
      <c r="Q50" s="79">
        <v>2</v>
      </c>
      <c r="R50" s="79">
        <v>1</v>
      </c>
      <c r="S50" s="44">
        <f t="shared" ref="S50" si="34">P50*Q50*R50</f>
        <v>2</v>
      </c>
      <c r="T50" s="70" t="str">
        <f t="shared" ref="T50" si="35">IF(S50&lt;=20,"Düşük Risk",IF(AND(S50&gt;20,S50&lt;=70),"Olası Risk",IF(AND(S50&gt;70,S50&lt;=200),"Ciddi Risk",IF(AND(S50&gt;200,S50&lt;=400),"Kritik Risk",IF(S50&gt;400,"Kabul Edilemez Risk","Risk Puanı Doğru Tanımlanamamıştır.")))))</f>
        <v>Düşük Risk</v>
      </c>
      <c r="U50" s="71"/>
      <c r="V50" s="21"/>
      <c r="W50" s="21"/>
      <c r="X50" s="21"/>
      <c r="Z50" s="21"/>
      <c r="AA50" s="21"/>
      <c r="AB50" s="21"/>
      <c r="AC50" s="21"/>
      <c r="AD50" s="21"/>
      <c r="AE50" s="21"/>
      <c r="AF50" s="21"/>
      <c r="AG50" s="21"/>
      <c r="AH50" s="21"/>
    </row>
    <row r="51" spans="1:34" ht="43.2" x14ac:dyDescent="0.3">
      <c r="A51" s="80">
        <v>44</v>
      </c>
      <c r="B51" s="126"/>
      <c r="C51" s="17" t="s">
        <v>45</v>
      </c>
      <c r="D51" s="22" t="s">
        <v>48</v>
      </c>
      <c r="E51" s="2" t="s">
        <v>288</v>
      </c>
      <c r="F51" s="2" t="s">
        <v>289</v>
      </c>
      <c r="G51" s="51">
        <v>3</v>
      </c>
      <c r="H51" s="51">
        <v>3</v>
      </c>
      <c r="I51" s="51">
        <v>6</v>
      </c>
      <c r="J51" s="51">
        <f t="shared" ref="J51" si="36">G51*H51*I51</f>
        <v>54</v>
      </c>
      <c r="K51" s="64" t="str">
        <f t="shared" ref="K51" si="37">IF(J51&lt;=20,"Düşük Risk",IF(AND(J51&gt;20,J51&lt;=70),"Olası Risk",IF(AND(J51&gt;70,J51&lt;=200),"Ciddi Risk",IF(AND(J51&gt;200,J51&lt;=400),"Kritik Risk",IF(J51&gt;400,"Kabul Edilemez Risk","Risk Puanı Doğru Tanımlanamamıştır.")))))</f>
        <v>Olası Risk</v>
      </c>
      <c r="L51" s="3" t="s">
        <v>46</v>
      </c>
      <c r="M51" s="5" t="s">
        <v>44</v>
      </c>
      <c r="N51" s="17" t="s">
        <v>16</v>
      </c>
      <c r="O51" s="22" t="s">
        <v>290</v>
      </c>
      <c r="P51" s="17">
        <v>1</v>
      </c>
      <c r="Q51" s="17">
        <v>3</v>
      </c>
      <c r="R51" s="17">
        <v>3</v>
      </c>
      <c r="S51" s="44">
        <f t="shared" si="2"/>
        <v>9</v>
      </c>
      <c r="T51" s="70" t="str">
        <f t="shared" si="3"/>
        <v>Düşük Risk</v>
      </c>
      <c r="U51" s="72"/>
      <c r="V51" s="21"/>
      <c r="W51" s="21"/>
      <c r="X51" s="21"/>
      <c r="Z51" s="21"/>
      <c r="AA51" s="21"/>
      <c r="AB51" s="21"/>
      <c r="AC51" s="21"/>
      <c r="AD51" s="21"/>
      <c r="AE51" s="21"/>
      <c r="AF51" s="21"/>
      <c r="AG51" s="21"/>
      <c r="AH51" s="21"/>
    </row>
    <row r="52" spans="1:34" ht="43.2" x14ac:dyDescent="0.3">
      <c r="A52" s="80">
        <v>45</v>
      </c>
      <c r="B52" s="5" t="s">
        <v>47</v>
      </c>
      <c r="C52" s="17" t="s">
        <v>50</v>
      </c>
      <c r="D52" s="22" t="s">
        <v>49</v>
      </c>
      <c r="E52" s="2" t="s">
        <v>51</v>
      </c>
      <c r="F52" s="2" t="s">
        <v>291</v>
      </c>
      <c r="G52" s="5">
        <v>2</v>
      </c>
      <c r="H52" s="5">
        <v>3</v>
      </c>
      <c r="I52" s="5">
        <f t="shared" si="5"/>
        <v>6</v>
      </c>
      <c r="J52" s="5">
        <f t="shared" si="4"/>
        <v>36</v>
      </c>
      <c r="K52" s="64" t="str">
        <f t="shared" si="6"/>
        <v>Olası Risk</v>
      </c>
      <c r="L52" s="3" t="s">
        <v>52</v>
      </c>
      <c r="M52" s="16" t="s">
        <v>53</v>
      </c>
      <c r="N52" s="60">
        <v>46387</v>
      </c>
      <c r="O52" s="17"/>
      <c r="P52" s="17"/>
      <c r="Q52" s="17"/>
      <c r="R52" s="17"/>
      <c r="S52" s="44">
        <f t="shared" si="2"/>
        <v>0</v>
      </c>
      <c r="T52" s="70" t="str">
        <f t="shared" si="3"/>
        <v>Düşük Risk</v>
      </c>
      <c r="U52" s="71" t="s">
        <v>295</v>
      </c>
      <c r="V52" s="21"/>
      <c r="W52" s="21"/>
      <c r="X52" s="21"/>
      <c r="Z52" s="21"/>
      <c r="AA52" s="21"/>
      <c r="AB52" s="21"/>
      <c r="AC52" s="21"/>
      <c r="AD52" s="21"/>
      <c r="AE52" s="21"/>
      <c r="AF52" s="21"/>
      <c r="AG52" s="21"/>
      <c r="AH52" s="21"/>
    </row>
    <row r="53" spans="1:34" ht="72" x14ac:dyDescent="0.3">
      <c r="A53" s="80">
        <v>46</v>
      </c>
      <c r="B53" s="83" t="s">
        <v>85</v>
      </c>
      <c r="C53" s="3" t="s">
        <v>61</v>
      </c>
      <c r="D53" s="1" t="s">
        <v>62</v>
      </c>
      <c r="E53" s="1" t="s">
        <v>78</v>
      </c>
      <c r="F53" s="22" t="s">
        <v>283</v>
      </c>
      <c r="G53" s="51">
        <v>2</v>
      </c>
      <c r="H53" s="51">
        <v>3</v>
      </c>
      <c r="I53" s="51">
        <f t="shared" ref="I53" si="38">G53*H53</f>
        <v>6</v>
      </c>
      <c r="J53" s="51">
        <f t="shared" ref="J53" si="39">G53*H53*I53</f>
        <v>36</v>
      </c>
      <c r="K53" s="64" t="str">
        <f t="shared" ref="K53" si="40">IF(J53&lt;=20,"Düşük Risk",IF(AND(J53&gt;20,J53&lt;=70),"Olası Risk",IF(AND(J53&gt;70,J53&lt;=200),"Ciddi Risk",IF(AND(J53&gt;200,J53&lt;=400),"Kritik Risk",IF(J53&gt;400,"Kabul Edilemez Risk","Risk Puanı Doğru Tanımlanamamıştır.")))))</f>
        <v>Olası Risk</v>
      </c>
      <c r="L53" s="3" t="s">
        <v>127</v>
      </c>
      <c r="M53" s="3" t="s">
        <v>14</v>
      </c>
      <c r="N53" s="3" t="s">
        <v>16</v>
      </c>
      <c r="O53" s="3" t="s">
        <v>292</v>
      </c>
      <c r="P53" s="17">
        <v>1</v>
      </c>
      <c r="Q53" s="17">
        <v>2</v>
      </c>
      <c r="R53" s="17">
        <v>6</v>
      </c>
      <c r="S53" s="44">
        <f t="shared" si="2"/>
        <v>12</v>
      </c>
      <c r="T53" s="70" t="str">
        <f t="shared" si="3"/>
        <v>Düşük Risk</v>
      </c>
      <c r="U53" s="21"/>
      <c r="V53" s="21"/>
      <c r="W53" s="21"/>
      <c r="X53" s="21"/>
      <c r="Z53" s="21"/>
      <c r="AA53" s="21"/>
      <c r="AB53" s="21"/>
      <c r="AC53" s="21"/>
      <c r="AD53" s="21"/>
      <c r="AE53" s="21"/>
      <c r="AF53" s="21"/>
      <c r="AG53" s="21"/>
      <c r="AH53" s="21"/>
    </row>
    <row r="54" spans="1:34" ht="72" x14ac:dyDescent="0.3">
      <c r="A54" s="80">
        <v>47</v>
      </c>
      <c r="B54" s="83"/>
      <c r="C54" s="3" t="s">
        <v>63</v>
      </c>
      <c r="D54" s="1" t="s">
        <v>64</v>
      </c>
      <c r="E54" s="1" t="s">
        <v>139</v>
      </c>
      <c r="F54" s="22" t="s">
        <v>276</v>
      </c>
      <c r="G54" s="51">
        <v>2</v>
      </c>
      <c r="H54" s="51">
        <v>3</v>
      </c>
      <c r="I54" s="51">
        <f t="shared" ref="I54" si="41">G54*H54</f>
        <v>6</v>
      </c>
      <c r="J54" s="51">
        <f t="shared" ref="J54" si="42">G54*H54*I54</f>
        <v>36</v>
      </c>
      <c r="K54" s="64" t="str">
        <f t="shared" ref="K54" si="43">IF(J54&lt;=20,"Düşük Risk",IF(AND(J54&gt;20,J54&lt;=70),"Olası Risk",IF(AND(J54&gt;70,J54&lt;=200),"Ciddi Risk",IF(AND(J54&gt;200,J54&lt;=400),"Kritik Risk",IF(J54&gt;400,"Kabul Edilemez Risk","Risk Puanı Doğru Tanımlanamamıştır.")))))</f>
        <v>Olası Risk</v>
      </c>
      <c r="L54" s="3" t="s">
        <v>126</v>
      </c>
      <c r="M54" s="3" t="s">
        <v>14</v>
      </c>
      <c r="N54" s="3" t="s">
        <v>16</v>
      </c>
      <c r="O54" s="22" t="s">
        <v>292</v>
      </c>
      <c r="P54" s="17">
        <v>2</v>
      </c>
      <c r="Q54" s="17">
        <v>3</v>
      </c>
      <c r="R54" s="17">
        <v>6</v>
      </c>
      <c r="S54" s="44">
        <f t="shared" si="2"/>
        <v>36</v>
      </c>
      <c r="T54" s="70" t="str">
        <f t="shared" si="3"/>
        <v>Olası Risk</v>
      </c>
      <c r="U54" s="21"/>
      <c r="V54" s="21"/>
      <c r="W54" s="21"/>
      <c r="X54" s="21"/>
      <c r="Z54" s="21"/>
      <c r="AA54" s="21"/>
      <c r="AB54" s="21"/>
      <c r="AC54" s="21"/>
      <c r="AD54" s="21"/>
      <c r="AE54" s="21"/>
      <c r="AF54" s="21"/>
      <c r="AG54" s="21"/>
      <c r="AH54" s="21"/>
    </row>
    <row r="55" spans="1:34" ht="43.2" x14ac:dyDescent="0.3">
      <c r="A55" s="80">
        <v>48</v>
      </c>
      <c r="B55" s="83" t="s">
        <v>142</v>
      </c>
      <c r="C55" s="17" t="s">
        <v>59</v>
      </c>
      <c r="D55" s="3" t="s">
        <v>58</v>
      </c>
      <c r="E55" s="22" t="s">
        <v>55</v>
      </c>
      <c r="F55" s="3" t="s">
        <v>293</v>
      </c>
      <c r="G55" s="51">
        <v>2</v>
      </c>
      <c r="H55" s="51">
        <v>3</v>
      </c>
      <c r="I55" s="51">
        <f t="shared" ref="I55" si="44">G55*H55</f>
        <v>6</v>
      </c>
      <c r="J55" s="51">
        <f t="shared" ref="J55" si="45">G55*H55*I55</f>
        <v>36</v>
      </c>
      <c r="K55" s="64" t="str">
        <f t="shared" ref="K55" si="46">IF(J55&lt;=20,"Düşük Risk",IF(AND(J55&gt;20,J55&lt;=70),"Olası Risk",IF(AND(J55&gt;70,J55&lt;=200),"Ciddi Risk",IF(AND(J55&gt;200,J55&lt;=400),"Kritik Risk",IF(J55&gt;400,"Kabul Edilemez Risk","Risk Puanı Doğru Tanımlanamamıştır.")))))</f>
        <v>Olası Risk</v>
      </c>
      <c r="L55" s="3" t="s">
        <v>9</v>
      </c>
      <c r="M55" s="17" t="s">
        <v>11</v>
      </c>
      <c r="N55" s="3" t="s">
        <v>15</v>
      </c>
      <c r="O55" s="3" t="s">
        <v>215</v>
      </c>
      <c r="P55" s="17">
        <v>2</v>
      </c>
      <c r="Q55" s="17">
        <v>3</v>
      </c>
      <c r="R55" s="17">
        <v>6</v>
      </c>
      <c r="S55" s="44">
        <f t="shared" si="2"/>
        <v>36</v>
      </c>
      <c r="T55" s="70" t="str">
        <f t="shared" si="3"/>
        <v>Olası Risk</v>
      </c>
      <c r="U55" s="21"/>
      <c r="V55" s="21"/>
      <c r="W55" s="21"/>
      <c r="X55" s="21"/>
      <c r="Z55" s="21"/>
      <c r="AA55" s="21"/>
      <c r="AB55" s="21"/>
      <c r="AC55" s="21"/>
      <c r="AD55" s="21"/>
      <c r="AE55" s="21"/>
      <c r="AF55" s="21"/>
      <c r="AG55" s="21"/>
      <c r="AH55" s="21"/>
    </row>
    <row r="56" spans="1:34" ht="57.6" x14ac:dyDescent="0.3">
      <c r="A56" s="80">
        <v>49</v>
      </c>
      <c r="B56" s="83"/>
      <c r="C56" s="22" t="s">
        <v>94</v>
      </c>
      <c r="D56" s="111" t="s">
        <v>95</v>
      </c>
      <c r="E56" s="1" t="s">
        <v>78</v>
      </c>
      <c r="F56" s="22" t="s">
        <v>283</v>
      </c>
      <c r="G56" s="16">
        <v>3</v>
      </c>
      <c r="H56" s="16">
        <v>3</v>
      </c>
      <c r="I56" s="5">
        <f t="shared" si="5"/>
        <v>9</v>
      </c>
      <c r="J56" s="5">
        <f t="shared" si="4"/>
        <v>81</v>
      </c>
      <c r="K56" s="64" t="str">
        <f t="shared" si="6"/>
        <v>Ciddi Risk</v>
      </c>
      <c r="L56" s="3" t="s">
        <v>128</v>
      </c>
      <c r="M56" s="3" t="s">
        <v>96</v>
      </c>
      <c r="N56" s="3" t="s">
        <v>84</v>
      </c>
      <c r="O56" s="3" t="s">
        <v>294</v>
      </c>
      <c r="P56" s="5">
        <v>2</v>
      </c>
      <c r="Q56" s="5">
        <v>3</v>
      </c>
      <c r="R56" s="17">
        <v>6</v>
      </c>
      <c r="S56" s="44">
        <f t="shared" si="2"/>
        <v>36</v>
      </c>
      <c r="T56" s="70" t="str">
        <f t="shared" si="3"/>
        <v>Olası Risk</v>
      </c>
      <c r="U56" s="21"/>
      <c r="V56" s="21"/>
      <c r="W56" s="21"/>
      <c r="X56" s="21"/>
      <c r="Z56" s="21"/>
      <c r="AA56" s="21"/>
      <c r="AB56" s="21"/>
      <c r="AC56" s="21"/>
      <c r="AD56" s="21"/>
      <c r="AE56" s="21"/>
      <c r="AF56" s="21"/>
      <c r="AG56" s="21"/>
      <c r="AH56" s="21"/>
    </row>
    <row r="57" spans="1:34" ht="57.6" x14ac:dyDescent="0.3">
      <c r="A57" s="80">
        <v>50</v>
      </c>
      <c r="B57" s="83"/>
      <c r="C57" s="22" t="s">
        <v>94</v>
      </c>
      <c r="D57" s="112"/>
      <c r="E57" s="1" t="s">
        <v>139</v>
      </c>
      <c r="F57" s="22" t="s">
        <v>276</v>
      </c>
      <c r="G57" s="16">
        <v>2</v>
      </c>
      <c r="H57" s="16">
        <v>4</v>
      </c>
      <c r="I57" s="5">
        <f t="shared" si="5"/>
        <v>8</v>
      </c>
      <c r="J57" s="5">
        <f t="shared" si="4"/>
        <v>64</v>
      </c>
      <c r="K57" s="64" t="str">
        <f t="shared" si="6"/>
        <v>Olası Risk</v>
      </c>
      <c r="L57" s="3" t="s">
        <v>128</v>
      </c>
      <c r="M57" s="3" t="s">
        <v>96</v>
      </c>
      <c r="N57" s="3" t="s">
        <v>84</v>
      </c>
      <c r="O57" s="22" t="s">
        <v>294</v>
      </c>
      <c r="P57" s="5">
        <v>1</v>
      </c>
      <c r="Q57" s="5">
        <v>3</v>
      </c>
      <c r="R57" s="17">
        <v>3</v>
      </c>
      <c r="S57" s="44">
        <f t="shared" si="2"/>
        <v>9</v>
      </c>
      <c r="T57" s="70" t="str">
        <f t="shared" si="3"/>
        <v>Düşük Risk</v>
      </c>
      <c r="U57" s="21"/>
      <c r="V57" s="21"/>
      <c r="W57" s="21"/>
      <c r="X57" s="21"/>
      <c r="Z57" s="21"/>
      <c r="AA57" s="21"/>
      <c r="AB57" s="21"/>
      <c r="AC57" s="21"/>
      <c r="AD57" s="21"/>
      <c r="AE57" s="21"/>
      <c r="AF57" s="21"/>
      <c r="AG57" s="21"/>
      <c r="AH57" s="21"/>
    </row>
    <row r="58" spans="1:34" ht="57.6" x14ac:dyDescent="0.3">
      <c r="A58" s="80">
        <v>51</v>
      </c>
      <c r="B58" s="83" t="s">
        <v>97</v>
      </c>
      <c r="C58" s="17" t="s">
        <v>102</v>
      </c>
      <c r="D58" s="22" t="s">
        <v>99</v>
      </c>
      <c r="E58" s="3" t="s">
        <v>139</v>
      </c>
      <c r="F58" s="22" t="s">
        <v>276</v>
      </c>
      <c r="G58" s="51">
        <v>1</v>
      </c>
      <c r="H58" s="51">
        <v>3</v>
      </c>
      <c r="I58" s="51">
        <v>3</v>
      </c>
      <c r="J58" s="51">
        <f t="shared" si="4"/>
        <v>9</v>
      </c>
      <c r="K58" s="64" t="str">
        <f t="shared" si="6"/>
        <v>Düşük Risk</v>
      </c>
      <c r="L58" s="3" t="s">
        <v>83</v>
      </c>
      <c r="M58" s="3" t="s">
        <v>104</v>
      </c>
      <c r="N58" s="3" t="s">
        <v>84</v>
      </c>
      <c r="O58" s="22" t="s">
        <v>294</v>
      </c>
      <c r="P58" s="17">
        <v>1</v>
      </c>
      <c r="Q58" s="17">
        <v>3</v>
      </c>
      <c r="R58" s="17">
        <v>3</v>
      </c>
      <c r="S58" s="44">
        <f t="shared" si="2"/>
        <v>9</v>
      </c>
      <c r="T58" s="70" t="str">
        <f t="shared" si="3"/>
        <v>Düşük Risk</v>
      </c>
      <c r="U58" s="21"/>
      <c r="V58" s="21"/>
      <c r="W58" s="21"/>
      <c r="X58" s="21"/>
      <c r="Z58" s="21"/>
      <c r="AA58" s="21"/>
      <c r="AB58" s="21"/>
      <c r="AC58" s="21"/>
      <c r="AD58" s="21"/>
      <c r="AE58" s="21"/>
      <c r="AF58" s="21"/>
      <c r="AG58" s="21"/>
      <c r="AH58" s="21"/>
    </row>
    <row r="59" spans="1:34" ht="57.6" x14ac:dyDescent="0.3">
      <c r="A59" s="80">
        <v>52</v>
      </c>
      <c r="B59" s="83"/>
      <c r="C59" s="17" t="s">
        <v>102</v>
      </c>
      <c r="D59" s="3" t="s">
        <v>98</v>
      </c>
      <c r="E59" s="22" t="s">
        <v>139</v>
      </c>
      <c r="F59" s="16" t="s">
        <v>32</v>
      </c>
      <c r="G59" s="51">
        <v>1</v>
      </c>
      <c r="H59" s="51">
        <v>3</v>
      </c>
      <c r="I59" s="51">
        <v>3</v>
      </c>
      <c r="J59" s="51">
        <f t="shared" ref="J59:J67" si="47">G59*H59*I59</f>
        <v>9</v>
      </c>
      <c r="K59" s="64" t="str">
        <f t="shared" ref="K59:K67" si="48">IF(J59&lt;=20,"Düşük Risk",IF(AND(J59&gt;20,J59&lt;=70),"Olası Risk",IF(AND(J59&gt;70,J59&lt;=200),"Ciddi Risk",IF(AND(J59&gt;200,J59&lt;=400),"Kritik Risk",IF(J59&gt;400,"Kabul Edilemez Risk","Risk Puanı Doğru Tanımlanamamıştır.")))))</f>
        <v>Düşük Risk</v>
      </c>
      <c r="L59" s="16" t="s">
        <v>130</v>
      </c>
      <c r="M59" s="3" t="s">
        <v>104</v>
      </c>
      <c r="N59" s="3" t="s">
        <v>108</v>
      </c>
      <c r="O59" s="22" t="s">
        <v>294</v>
      </c>
      <c r="P59" s="17">
        <v>0.1</v>
      </c>
      <c r="Q59" s="17">
        <v>3</v>
      </c>
      <c r="R59" s="17">
        <v>3</v>
      </c>
      <c r="S59" s="44">
        <f t="shared" si="2"/>
        <v>0.90000000000000013</v>
      </c>
      <c r="T59" s="70" t="str">
        <f t="shared" si="3"/>
        <v>Düşük Risk</v>
      </c>
      <c r="U59" s="21"/>
      <c r="V59" s="21"/>
      <c r="W59" s="21"/>
      <c r="X59" s="21"/>
      <c r="Z59" s="21"/>
      <c r="AA59" s="21"/>
      <c r="AB59" s="21"/>
      <c r="AC59" s="21"/>
      <c r="AD59" s="21"/>
      <c r="AE59" s="21"/>
      <c r="AF59" s="21"/>
      <c r="AG59" s="21"/>
      <c r="AH59" s="21"/>
    </row>
    <row r="60" spans="1:34" ht="49.2" customHeight="1" x14ac:dyDescent="0.3">
      <c r="A60" s="80">
        <v>53</v>
      </c>
      <c r="B60" s="88" t="s">
        <v>297</v>
      </c>
      <c r="C60" s="22" t="s">
        <v>298</v>
      </c>
      <c r="D60" s="22" t="s">
        <v>299</v>
      </c>
      <c r="E60" s="1" t="s">
        <v>78</v>
      </c>
      <c r="F60" s="22" t="s">
        <v>276</v>
      </c>
      <c r="G60" s="68">
        <v>2</v>
      </c>
      <c r="H60" s="68">
        <v>3</v>
      </c>
      <c r="I60" s="68">
        <f t="shared" ref="I60" si="49">G60*H60</f>
        <v>6</v>
      </c>
      <c r="J60" s="68">
        <f t="shared" si="47"/>
        <v>36</v>
      </c>
      <c r="K60" s="64" t="str">
        <f t="shared" si="48"/>
        <v>Olası Risk</v>
      </c>
      <c r="L60" s="16" t="s">
        <v>301</v>
      </c>
      <c r="M60" s="22" t="s">
        <v>300</v>
      </c>
      <c r="N60" s="22" t="s">
        <v>16</v>
      </c>
      <c r="O60" s="22" t="s">
        <v>302</v>
      </c>
      <c r="P60" s="67">
        <v>1</v>
      </c>
      <c r="Q60" s="67">
        <v>2</v>
      </c>
      <c r="R60" s="67">
        <v>3</v>
      </c>
      <c r="S60" s="44">
        <f t="shared" si="2"/>
        <v>6</v>
      </c>
      <c r="T60" s="70" t="str">
        <f t="shared" si="3"/>
        <v>Düşük Risk</v>
      </c>
      <c r="U60" s="21"/>
      <c r="V60" s="21"/>
      <c r="W60" s="21"/>
      <c r="X60" s="21"/>
      <c r="Z60" s="21"/>
      <c r="AA60" s="21"/>
      <c r="AB60" s="21"/>
      <c r="AC60" s="21"/>
      <c r="AD60" s="21"/>
      <c r="AE60" s="21"/>
      <c r="AF60" s="21"/>
      <c r="AG60" s="21"/>
      <c r="AH60" s="21"/>
    </row>
    <row r="61" spans="1:34" ht="37.200000000000003" customHeight="1" x14ac:dyDescent="0.3">
      <c r="A61" s="80">
        <v>54</v>
      </c>
      <c r="B61" s="89"/>
      <c r="C61" s="67" t="s">
        <v>303</v>
      </c>
      <c r="D61" s="22" t="s">
        <v>304</v>
      </c>
      <c r="E61" s="22" t="s">
        <v>139</v>
      </c>
      <c r="F61" s="16" t="s">
        <v>32</v>
      </c>
      <c r="G61" s="68">
        <v>1</v>
      </c>
      <c r="H61" s="68">
        <v>3</v>
      </c>
      <c r="I61" s="68">
        <v>3</v>
      </c>
      <c r="J61" s="68">
        <f t="shared" si="47"/>
        <v>9</v>
      </c>
      <c r="K61" s="64" t="str">
        <f t="shared" si="48"/>
        <v>Düşük Risk</v>
      </c>
      <c r="L61" s="16" t="s">
        <v>305</v>
      </c>
      <c r="M61" s="22" t="s">
        <v>26</v>
      </c>
      <c r="N61" s="22" t="s">
        <v>16</v>
      </c>
      <c r="O61" s="22" t="s">
        <v>306</v>
      </c>
      <c r="P61" s="67">
        <v>1</v>
      </c>
      <c r="Q61" s="67">
        <v>2</v>
      </c>
      <c r="R61" s="67">
        <v>2</v>
      </c>
      <c r="S61" s="44">
        <f t="shared" si="2"/>
        <v>4</v>
      </c>
      <c r="T61" s="70" t="str">
        <f t="shared" si="3"/>
        <v>Düşük Risk</v>
      </c>
      <c r="U61" s="21"/>
      <c r="V61" s="21"/>
      <c r="W61" s="21"/>
      <c r="X61" s="21"/>
      <c r="Z61" s="21"/>
      <c r="AA61" s="21"/>
      <c r="AB61" s="21"/>
      <c r="AC61" s="21"/>
      <c r="AD61" s="21"/>
      <c r="AE61" s="21"/>
      <c r="AF61" s="21"/>
      <c r="AG61" s="21"/>
      <c r="AH61" s="21"/>
    </row>
    <row r="62" spans="1:34" ht="43.2" x14ac:dyDescent="0.3">
      <c r="A62" s="80">
        <v>55</v>
      </c>
      <c r="B62" s="89"/>
      <c r="C62" s="67" t="s">
        <v>102</v>
      </c>
      <c r="D62" s="22" t="s">
        <v>307</v>
      </c>
      <c r="E62" s="22" t="s">
        <v>139</v>
      </c>
      <c r="F62" s="16" t="s">
        <v>32</v>
      </c>
      <c r="G62" s="68">
        <v>1</v>
      </c>
      <c r="H62" s="68">
        <v>3</v>
      </c>
      <c r="I62" s="68">
        <v>3</v>
      </c>
      <c r="J62" s="68">
        <f t="shared" si="47"/>
        <v>9</v>
      </c>
      <c r="K62" s="64" t="str">
        <f t="shared" si="48"/>
        <v>Düşük Risk</v>
      </c>
      <c r="L62" s="16" t="s">
        <v>308</v>
      </c>
      <c r="M62" s="22" t="s">
        <v>300</v>
      </c>
      <c r="N62" s="22" t="s">
        <v>16</v>
      </c>
      <c r="O62" s="22" t="s">
        <v>309</v>
      </c>
      <c r="P62" s="67">
        <v>1</v>
      </c>
      <c r="Q62" s="67">
        <v>2</v>
      </c>
      <c r="R62" s="67">
        <v>2</v>
      </c>
      <c r="S62" s="44">
        <f t="shared" si="2"/>
        <v>4</v>
      </c>
      <c r="T62" s="70" t="str">
        <f t="shared" si="3"/>
        <v>Düşük Risk</v>
      </c>
      <c r="U62" s="21"/>
      <c r="V62" s="21"/>
      <c r="W62" s="21"/>
      <c r="X62" s="21"/>
      <c r="Z62" s="21"/>
      <c r="AA62" s="21"/>
      <c r="AB62" s="21"/>
      <c r="AC62" s="21"/>
      <c r="AD62" s="21"/>
      <c r="AE62" s="21"/>
      <c r="AF62" s="21"/>
      <c r="AG62" s="21"/>
      <c r="AH62" s="21"/>
    </row>
    <row r="63" spans="1:34" ht="86.4" x14ac:dyDescent="0.3">
      <c r="A63" s="80">
        <v>56</v>
      </c>
      <c r="B63" s="89"/>
      <c r="C63" s="67" t="s">
        <v>310</v>
      </c>
      <c r="D63" s="22" t="s">
        <v>311</v>
      </c>
      <c r="E63" s="22" t="s">
        <v>312</v>
      </c>
      <c r="F63" s="22" t="s">
        <v>293</v>
      </c>
      <c r="G63" s="68">
        <v>1</v>
      </c>
      <c r="H63" s="68">
        <v>7</v>
      </c>
      <c r="I63" s="68">
        <v>1</v>
      </c>
      <c r="J63" s="68">
        <f t="shared" si="47"/>
        <v>7</v>
      </c>
      <c r="K63" s="64" t="str">
        <f t="shared" si="48"/>
        <v>Düşük Risk</v>
      </c>
      <c r="L63" s="16" t="s">
        <v>313</v>
      </c>
      <c r="M63" s="22" t="s">
        <v>300</v>
      </c>
      <c r="N63" s="22" t="s">
        <v>314</v>
      </c>
      <c r="O63" s="22" t="s">
        <v>315</v>
      </c>
      <c r="P63" s="67">
        <v>0.5</v>
      </c>
      <c r="Q63" s="67">
        <v>7</v>
      </c>
      <c r="R63" s="67">
        <v>1</v>
      </c>
      <c r="S63" s="44">
        <f t="shared" si="2"/>
        <v>3.5</v>
      </c>
      <c r="T63" s="70" t="str">
        <f t="shared" si="3"/>
        <v>Düşük Risk</v>
      </c>
      <c r="U63" s="21"/>
      <c r="V63" s="21"/>
      <c r="W63" s="21"/>
      <c r="X63" s="21"/>
      <c r="Z63" s="21"/>
      <c r="AA63" s="21"/>
      <c r="AB63" s="21"/>
      <c r="AC63" s="21"/>
      <c r="AD63" s="21"/>
      <c r="AE63" s="21"/>
      <c r="AF63" s="21"/>
      <c r="AG63" s="21"/>
      <c r="AH63" s="21"/>
    </row>
    <row r="64" spans="1:34" s="77" customFormat="1" ht="60" customHeight="1" x14ac:dyDescent="0.3">
      <c r="A64" s="80">
        <v>57</v>
      </c>
      <c r="B64" s="89"/>
      <c r="C64" s="22" t="s">
        <v>316</v>
      </c>
      <c r="D64" s="22" t="s">
        <v>317</v>
      </c>
      <c r="E64" s="22" t="s">
        <v>319</v>
      </c>
      <c r="F64" s="16" t="s">
        <v>318</v>
      </c>
      <c r="G64" s="16">
        <v>1</v>
      </c>
      <c r="H64" s="16">
        <v>3</v>
      </c>
      <c r="I64" s="16">
        <v>3</v>
      </c>
      <c r="J64" s="16">
        <f t="shared" si="47"/>
        <v>9</v>
      </c>
      <c r="K64" s="74" t="str">
        <f t="shared" si="48"/>
        <v>Düşük Risk</v>
      </c>
      <c r="L64" s="16" t="s">
        <v>320</v>
      </c>
      <c r="M64" s="22" t="s">
        <v>321</v>
      </c>
      <c r="N64" s="22" t="s">
        <v>322</v>
      </c>
      <c r="O64" s="22" t="s">
        <v>323</v>
      </c>
      <c r="P64" s="22">
        <v>0.5</v>
      </c>
      <c r="Q64" s="22">
        <v>3</v>
      </c>
      <c r="R64" s="22">
        <v>3</v>
      </c>
      <c r="S64" s="59">
        <f t="shared" si="2"/>
        <v>4.5</v>
      </c>
      <c r="T64" s="75" t="str">
        <f t="shared" si="3"/>
        <v>Düşük Risk</v>
      </c>
      <c r="U64" s="76"/>
      <c r="V64" s="76"/>
      <c r="W64" s="76"/>
      <c r="X64" s="76"/>
      <c r="Z64" s="76"/>
      <c r="AA64" s="76"/>
      <c r="AB64" s="76"/>
      <c r="AC64" s="76"/>
      <c r="AD64" s="76"/>
      <c r="AE64" s="76"/>
      <c r="AF64" s="76"/>
      <c r="AG64" s="76"/>
      <c r="AH64" s="76"/>
    </row>
    <row r="65" spans="1:34" s="77" customFormat="1" ht="60" customHeight="1" x14ac:dyDescent="0.3">
      <c r="A65" s="80">
        <v>58</v>
      </c>
      <c r="B65" s="90"/>
      <c r="C65" s="22" t="s">
        <v>324</v>
      </c>
      <c r="D65" s="22" t="s">
        <v>325</v>
      </c>
      <c r="E65" s="22" t="s">
        <v>326</v>
      </c>
      <c r="F65" s="16" t="s">
        <v>32</v>
      </c>
      <c r="G65" s="16">
        <v>1</v>
      </c>
      <c r="H65" s="16">
        <v>3</v>
      </c>
      <c r="I65" s="16">
        <v>3</v>
      </c>
      <c r="J65" s="16">
        <f t="shared" si="47"/>
        <v>9</v>
      </c>
      <c r="K65" s="74" t="str">
        <f t="shared" si="48"/>
        <v>Düşük Risk</v>
      </c>
      <c r="L65" s="16" t="s">
        <v>327</v>
      </c>
      <c r="M65" s="22" t="s">
        <v>300</v>
      </c>
      <c r="N65" s="22" t="s">
        <v>322</v>
      </c>
      <c r="O65" s="22" t="s">
        <v>328</v>
      </c>
      <c r="P65" s="22">
        <v>0.5</v>
      </c>
      <c r="Q65" s="22">
        <v>3</v>
      </c>
      <c r="R65" s="22">
        <v>3</v>
      </c>
      <c r="S65" s="59">
        <f t="shared" si="2"/>
        <v>4.5</v>
      </c>
      <c r="T65" s="75" t="str">
        <f t="shared" si="3"/>
        <v>Düşük Risk</v>
      </c>
      <c r="U65" s="76"/>
      <c r="V65" s="76"/>
      <c r="W65" s="76"/>
      <c r="X65" s="76"/>
      <c r="Z65" s="76"/>
      <c r="AA65" s="76"/>
      <c r="AB65" s="76"/>
      <c r="AC65" s="76"/>
      <c r="AD65" s="76"/>
      <c r="AE65" s="76"/>
      <c r="AF65" s="76"/>
      <c r="AG65" s="76"/>
      <c r="AH65" s="76"/>
    </row>
    <row r="66" spans="1:34" s="77" customFormat="1" ht="60" customHeight="1" x14ac:dyDescent="0.3">
      <c r="A66" s="80">
        <v>59</v>
      </c>
      <c r="B66" s="85" t="s">
        <v>329</v>
      </c>
      <c r="C66" s="22" t="s">
        <v>330</v>
      </c>
      <c r="D66" s="22" t="s">
        <v>331</v>
      </c>
      <c r="E66" s="22" t="s">
        <v>139</v>
      </c>
      <c r="F66" s="16" t="s">
        <v>32</v>
      </c>
      <c r="G66" s="16">
        <v>1</v>
      </c>
      <c r="H66" s="16">
        <v>3</v>
      </c>
      <c r="I66" s="16">
        <v>3</v>
      </c>
      <c r="J66" s="16">
        <f t="shared" si="47"/>
        <v>9</v>
      </c>
      <c r="K66" s="74" t="str">
        <f t="shared" si="48"/>
        <v>Düşük Risk</v>
      </c>
      <c r="L66" s="16" t="s">
        <v>332</v>
      </c>
      <c r="M66" s="22" t="s">
        <v>342</v>
      </c>
      <c r="N66" s="22" t="s">
        <v>322</v>
      </c>
      <c r="O66" s="22" t="s">
        <v>333</v>
      </c>
      <c r="P66" s="22">
        <v>0.5</v>
      </c>
      <c r="Q66" s="22">
        <v>3</v>
      </c>
      <c r="R66" s="22">
        <v>3</v>
      </c>
      <c r="S66" s="59">
        <f t="shared" ref="S66:S67" si="50">P66*Q66*R66</f>
        <v>4.5</v>
      </c>
      <c r="T66" s="75" t="str">
        <f t="shared" ref="T66:T67" si="51">IF(S66&lt;=20,"Düşük Risk",IF(AND(S66&gt;20,S66&lt;=70),"Olası Risk",IF(AND(S66&gt;70,S66&lt;=200),"Ciddi Risk",IF(AND(S66&gt;200,S66&lt;=400),"Kritik Risk",IF(S66&gt;400,"Kabul Edilemez Risk","Risk Puanı Doğru Tanımlanamamıştır.")))))</f>
        <v>Düşük Risk</v>
      </c>
      <c r="U66" s="76"/>
      <c r="V66" s="76"/>
      <c r="W66" s="76"/>
      <c r="X66" s="76"/>
      <c r="Z66" s="76"/>
      <c r="AA66" s="76"/>
      <c r="AB66" s="76"/>
      <c r="AC66" s="76"/>
      <c r="AD66" s="76"/>
      <c r="AE66" s="76"/>
      <c r="AF66" s="76"/>
      <c r="AG66" s="76"/>
      <c r="AH66" s="76"/>
    </row>
    <row r="67" spans="1:34" s="77" customFormat="1" ht="60" customHeight="1" x14ac:dyDescent="0.3">
      <c r="A67" s="80">
        <v>60</v>
      </c>
      <c r="B67" s="86"/>
      <c r="C67" s="22" t="s">
        <v>370</v>
      </c>
      <c r="D67" s="22" t="s">
        <v>371</v>
      </c>
      <c r="E67" s="22" t="s">
        <v>368</v>
      </c>
      <c r="F67" s="22" t="s">
        <v>369</v>
      </c>
      <c r="G67" s="16">
        <v>2</v>
      </c>
      <c r="H67" s="16">
        <v>3</v>
      </c>
      <c r="I67" s="16">
        <v>3</v>
      </c>
      <c r="J67" s="16">
        <f t="shared" si="47"/>
        <v>18</v>
      </c>
      <c r="K67" s="74" t="str">
        <f t="shared" si="48"/>
        <v>Düşük Risk</v>
      </c>
      <c r="L67" s="16" t="s">
        <v>372</v>
      </c>
      <c r="M67" s="22" t="s">
        <v>342</v>
      </c>
      <c r="N67" s="22" t="s">
        <v>314</v>
      </c>
      <c r="O67" s="22" t="s">
        <v>373</v>
      </c>
      <c r="P67" s="22">
        <v>1</v>
      </c>
      <c r="Q67" s="22">
        <v>2</v>
      </c>
      <c r="R67" s="22">
        <v>2</v>
      </c>
      <c r="S67" s="59">
        <f t="shared" si="50"/>
        <v>4</v>
      </c>
      <c r="T67" s="75" t="str">
        <f t="shared" si="51"/>
        <v>Düşük Risk</v>
      </c>
      <c r="U67" s="76"/>
      <c r="V67" s="76"/>
      <c r="W67" s="76"/>
      <c r="X67" s="76"/>
      <c r="Z67" s="76"/>
      <c r="AA67" s="76"/>
      <c r="AB67" s="76"/>
      <c r="AC67" s="76"/>
      <c r="AD67" s="76"/>
      <c r="AE67" s="76"/>
      <c r="AF67" s="76"/>
      <c r="AG67" s="76"/>
      <c r="AH67" s="76"/>
    </row>
    <row r="68" spans="1:34" s="77" customFormat="1" ht="60" customHeight="1" x14ac:dyDescent="0.3">
      <c r="A68" s="80">
        <v>61</v>
      </c>
      <c r="B68" s="87"/>
      <c r="C68" s="22" t="s">
        <v>334</v>
      </c>
      <c r="D68" s="22" t="s">
        <v>335</v>
      </c>
      <c r="E68" s="22" t="s">
        <v>336</v>
      </c>
      <c r="F68" s="16" t="s">
        <v>32</v>
      </c>
      <c r="G68" s="16">
        <v>1</v>
      </c>
      <c r="H68" s="16">
        <v>3</v>
      </c>
      <c r="I68" s="16">
        <v>3</v>
      </c>
      <c r="J68" s="16">
        <f t="shared" ref="J68:J73" si="52">G68*H68*I68</f>
        <v>9</v>
      </c>
      <c r="K68" s="74" t="str">
        <f t="shared" ref="K68:K73" si="53">IF(J68&lt;=20,"Düşük Risk",IF(AND(J68&gt;20,J68&lt;=70),"Olası Risk",IF(AND(J68&gt;70,J68&lt;=200),"Ciddi Risk",IF(AND(J68&gt;200,J68&lt;=400),"Kritik Risk",IF(J68&gt;400,"Kabul Edilemez Risk","Risk Puanı Doğru Tanımlanamamıştır.")))))</f>
        <v>Düşük Risk</v>
      </c>
      <c r="L68" s="16" t="s">
        <v>337</v>
      </c>
      <c r="M68" s="22" t="s">
        <v>342</v>
      </c>
      <c r="N68" s="22" t="s">
        <v>322</v>
      </c>
      <c r="O68" s="22"/>
      <c r="P68" s="22">
        <v>0.5</v>
      </c>
      <c r="Q68" s="22">
        <v>3</v>
      </c>
      <c r="R68" s="22">
        <v>3</v>
      </c>
      <c r="S68" s="59">
        <f t="shared" ref="S68:S73" si="54">P68*Q68*R68</f>
        <v>4.5</v>
      </c>
      <c r="T68" s="75" t="str">
        <f t="shared" ref="T68:T73" si="55">IF(S68&lt;=20,"Düşük Risk",IF(AND(S68&gt;20,S68&lt;=70),"Olası Risk",IF(AND(S68&gt;70,S68&lt;=200),"Ciddi Risk",IF(AND(S68&gt;200,S68&lt;=400),"Kritik Risk",IF(S68&gt;400,"Kabul Edilemez Risk","Risk Puanı Doğru Tanımlanamamıştır.")))))</f>
        <v>Düşük Risk</v>
      </c>
      <c r="U68" s="76"/>
      <c r="V68" s="76"/>
      <c r="W68" s="76"/>
      <c r="X68" s="76"/>
      <c r="Z68" s="76"/>
      <c r="AA68" s="76"/>
      <c r="AB68" s="76"/>
      <c r="AC68" s="76"/>
      <c r="AD68" s="76"/>
      <c r="AE68" s="76"/>
      <c r="AF68" s="76"/>
      <c r="AG68" s="76"/>
      <c r="AH68" s="76"/>
    </row>
    <row r="69" spans="1:34" s="77" customFormat="1" ht="60" customHeight="1" x14ac:dyDescent="0.3">
      <c r="A69" s="80">
        <v>62</v>
      </c>
      <c r="B69" s="88" t="s">
        <v>341</v>
      </c>
      <c r="C69" s="22" t="s">
        <v>338</v>
      </c>
      <c r="D69" s="22" t="s">
        <v>339</v>
      </c>
      <c r="E69" s="22" t="s">
        <v>340</v>
      </c>
      <c r="F69" s="16" t="s">
        <v>293</v>
      </c>
      <c r="G69" s="16">
        <v>1</v>
      </c>
      <c r="H69" s="16">
        <v>7</v>
      </c>
      <c r="I69" s="16">
        <v>1</v>
      </c>
      <c r="J69" s="16">
        <f t="shared" si="52"/>
        <v>7</v>
      </c>
      <c r="K69" s="74" t="str">
        <f t="shared" si="53"/>
        <v>Düşük Risk</v>
      </c>
      <c r="L69" s="16"/>
      <c r="M69" s="22" t="s">
        <v>344</v>
      </c>
      <c r="N69" s="22" t="s">
        <v>322</v>
      </c>
      <c r="O69" s="22" t="s">
        <v>343</v>
      </c>
      <c r="P69" s="22">
        <v>0.5</v>
      </c>
      <c r="Q69" s="22">
        <v>7</v>
      </c>
      <c r="R69" s="22">
        <v>1</v>
      </c>
      <c r="S69" s="59">
        <f t="shared" si="54"/>
        <v>3.5</v>
      </c>
      <c r="T69" s="75" t="str">
        <f t="shared" si="55"/>
        <v>Düşük Risk</v>
      </c>
      <c r="U69" s="76"/>
      <c r="V69" s="76"/>
      <c r="W69" s="76"/>
      <c r="X69" s="76"/>
      <c r="Z69" s="76"/>
      <c r="AA69" s="76"/>
      <c r="AB69" s="76"/>
      <c r="AC69" s="76"/>
      <c r="AD69" s="76"/>
      <c r="AE69" s="76"/>
      <c r="AF69" s="76"/>
      <c r="AG69" s="76"/>
      <c r="AH69" s="76"/>
    </row>
    <row r="70" spans="1:34" s="77" customFormat="1" ht="60" customHeight="1" x14ac:dyDescent="0.3">
      <c r="A70" s="80">
        <v>63</v>
      </c>
      <c r="B70" s="89"/>
      <c r="C70" s="22" t="s">
        <v>334</v>
      </c>
      <c r="D70" s="22" t="s">
        <v>335</v>
      </c>
      <c r="E70" s="22" t="s">
        <v>336</v>
      </c>
      <c r="F70" s="16" t="s">
        <v>32</v>
      </c>
      <c r="G70" s="16">
        <v>1</v>
      </c>
      <c r="H70" s="16">
        <v>3</v>
      </c>
      <c r="I70" s="16">
        <v>3</v>
      </c>
      <c r="J70" s="16">
        <f t="shared" ref="J70" si="56">G70*H70*I70</f>
        <v>9</v>
      </c>
      <c r="K70" s="74" t="str">
        <f t="shared" ref="K70" si="57">IF(J70&lt;=20,"Düşük Risk",IF(AND(J70&gt;20,J70&lt;=70),"Olası Risk",IF(AND(J70&gt;70,J70&lt;=200),"Ciddi Risk",IF(AND(J70&gt;200,J70&lt;=400),"Kritik Risk",IF(J70&gt;400,"Kabul Edilemez Risk","Risk Puanı Doğru Tanımlanamamıştır.")))))</f>
        <v>Düşük Risk</v>
      </c>
      <c r="L70" s="16" t="s">
        <v>337</v>
      </c>
      <c r="M70" s="22" t="s">
        <v>344</v>
      </c>
      <c r="N70" s="22" t="s">
        <v>322</v>
      </c>
      <c r="O70" s="22"/>
      <c r="P70" s="22">
        <v>0.5</v>
      </c>
      <c r="Q70" s="22">
        <v>3</v>
      </c>
      <c r="R70" s="22">
        <v>3</v>
      </c>
      <c r="S70" s="59">
        <f t="shared" ref="S70" si="58">P70*Q70*R70</f>
        <v>4.5</v>
      </c>
      <c r="T70" s="75" t="str">
        <f t="shared" ref="T70" si="59">IF(S70&lt;=20,"Düşük Risk",IF(AND(S70&gt;20,S70&lt;=70),"Olası Risk",IF(AND(S70&gt;70,S70&lt;=200),"Ciddi Risk",IF(AND(S70&gt;200,S70&lt;=400),"Kritik Risk",IF(S70&gt;400,"Kabul Edilemez Risk","Risk Puanı Doğru Tanımlanamamıştır.")))))</f>
        <v>Düşük Risk</v>
      </c>
      <c r="U70" s="76"/>
      <c r="V70" s="76"/>
      <c r="W70" s="76"/>
      <c r="X70" s="76"/>
      <c r="Z70" s="76"/>
      <c r="AA70" s="76"/>
      <c r="AB70" s="76"/>
      <c r="AC70" s="76"/>
      <c r="AD70" s="76"/>
      <c r="AE70" s="76"/>
      <c r="AF70" s="76"/>
      <c r="AG70" s="76"/>
      <c r="AH70" s="76"/>
    </row>
    <row r="71" spans="1:34" s="77" customFormat="1" ht="60" customHeight="1" x14ac:dyDescent="0.3">
      <c r="A71" s="80">
        <v>64</v>
      </c>
      <c r="B71" s="89"/>
      <c r="C71" s="22" t="s">
        <v>348</v>
      </c>
      <c r="D71" s="22" t="s">
        <v>352</v>
      </c>
      <c r="E71" s="22" t="s">
        <v>349</v>
      </c>
      <c r="F71" s="16" t="s">
        <v>350</v>
      </c>
      <c r="G71" s="16">
        <v>1</v>
      </c>
      <c r="H71" s="16">
        <v>3</v>
      </c>
      <c r="I71" s="16">
        <v>3</v>
      </c>
      <c r="J71" s="16">
        <f t="shared" ref="J71" si="60">G71*H71*I71</f>
        <v>9</v>
      </c>
      <c r="K71" s="74" t="str">
        <f t="shared" ref="K71" si="61">IF(J71&lt;=20,"Düşük Risk",IF(AND(J71&gt;20,J71&lt;=70),"Olası Risk",IF(AND(J71&gt;70,J71&lt;=200),"Ciddi Risk",IF(AND(J71&gt;200,J71&lt;=400),"Kritik Risk",IF(J71&gt;400,"Kabul Edilemez Risk","Risk Puanı Doğru Tanımlanamamıştır.")))))</f>
        <v>Düşük Risk</v>
      </c>
      <c r="L71" s="16" t="s">
        <v>351</v>
      </c>
      <c r="M71" s="22" t="s">
        <v>344</v>
      </c>
      <c r="N71" s="22" t="s">
        <v>322</v>
      </c>
      <c r="O71" s="22"/>
      <c r="P71" s="22">
        <v>0.5</v>
      </c>
      <c r="Q71" s="22">
        <v>3</v>
      </c>
      <c r="R71" s="22">
        <v>3</v>
      </c>
      <c r="S71" s="59">
        <f t="shared" ref="S71" si="62">P71*Q71*R71</f>
        <v>4.5</v>
      </c>
      <c r="T71" s="75" t="str">
        <f t="shared" ref="T71" si="63">IF(S71&lt;=20,"Düşük Risk",IF(AND(S71&gt;20,S71&lt;=70),"Olası Risk",IF(AND(S71&gt;70,S71&lt;=200),"Ciddi Risk",IF(AND(S71&gt;200,S71&lt;=400),"Kritik Risk",IF(S71&gt;400,"Kabul Edilemez Risk","Risk Puanı Doğru Tanımlanamamıştır.")))))</f>
        <v>Düşük Risk</v>
      </c>
      <c r="U71" s="76"/>
      <c r="V71" s="76"/>
      <c r="W71" s="76"/>
      <c r="X71" s="76"/>
      <c r="Z71" s="76"/>
      <c r="AA71" s="76"/>
      <c r="AB71" s="76"/>
      <c r="AC71" s="76"/>
      <c r="AD71" s="76"/>
      <c r="AE71" s="76"/>
      <c r="AF71" s="76"/>
      <c r="AG71" s="76"/>
      <c r="AH71" s="76"/>
    </row>
    <row r="72" spans="1:34" s="77" customFormat="1" ht="60" customHeight="1" x14ac:dyDescent="0.3">
      <c r="A72" s="80">
        <v>65</v>
      </c>
      <c r="B72" s="90"/>
      <c r="C72" s="22" t="s">
        <v>345</v>
      </c>
      <c r="D72" s="22" t="s">
        <v>346</v>
      </c>
      <c r="E72" s="22" t="s">
        <v>347</v>
      </c>
      <c r="F72" s="16" t="s">
        <v>32</v>
      </c>
      <c r="G72" s="16">
        <v>2</v>
      </c>
      <c r="H72" s="16">
        <v>4</v>
      </c>
      <c r="I72" s="16">
        <f t="shared" ref="I72" si="64">G72*H72</f>
        <v>8</v>
      </c>
      <c r="J72" s="16">
        <f t="shared" si="52"/>
        <v>64</v>
      </c>
      <c r="K72" s="74" t="str">
        <f t="shared" si="53"/>
        <v>Olası Risk</v>
      </c>
      <c r="L72" s="16" t="s">
        <v>332</v>
      </c>
      <c r="M72" s="22" t="s">
        <v>344</v>
      </c>
      <c r="N72" s="22" t="s">
        <v>322</v>
      </c>
      <c r="O72" s="22" t="s">
        <v>333</v>
      </c>
      <c r="P72" s="22">
        <v>0.5</v>
      </c>
      <c r="Q72" s="22">
        <v>3</v>
      </c>
      <c r="R72" s="22">
        <v>3</v>
      </c>
      <c r="S72" s="59">
        <f t="shared" si="54"/>
        <v>4.5</v>
      </c>
      <c r="T72" s="75" t="str">
        <f t="shared" si="55"/>
        <v>Düşük Risk</v>
      </c>
      <c r="U72" s="76"/>
      <c r="V72" s="76"/>
      <c r="W72" s="76"/>
      <c r="X72" s="76"/>
      <c r="Z72" s="76"/>
      <c r="AA72" s="76"/>
      <c r="AB72" s="76"/>
      <c r="AC72" s="76"/>
      <c r="AD72" s="76"/>
      <c r="AE72" s="76"/>
      <c r="AF72" s="76"/>
      <c r="AG72" s="76"/>
      <c r="AH72" s="76"/>
    </row>
    <row r="73" spans="1:34" s="78" customFormat="1" ht="60" customHeight="1" x14ac:dyDescent="0.3">
      <c r="A73" s="80">
        <v>66</v>
      </c>
      <c r="B73" s="83" t="s">
        <v>300</v>
      </c>
      <c r="C73" s="22" t="s">
        <v>354</v>
      </c>
      <c r="D73" s="22" t="s">
        <v>76</v>
      </c>
      <c r="E73" s="1" t="s">
        <v>78</v>
      </c>
      <c r="F73" s="1" t="s">
        <v>263</v>
      </c>
      <c r="G73" s="54">
        <v>0.5</v>
      </c>
      <c r="H73" s="54">
        <v>1</v>
      </c>
      <c r="I73" s="54">
        <v>10</v>
      </c>
      <c r="J73" s="54">
        <f t="shared" si="52"/>
        <v>5</v>
      </c>
      <c r="K73" s="64" t="str">
        <f t="shared" si="53"/>
        <v>Düşük Risk</v>
      </c>
      <c r="L73" s="22" t="s">
        <v>355</v>
      </c>
      <c r="M73" s="22" t="s">
        <v>387</v>
      </c>
      <c r="N73" s="22" t="s">
        <v>84</v>
      </c>
      <c r="O73" s="22" t="s">
        <v>356</v>
      </c>
      <c r="P73" s="54">
        <v>0.5</v>
      </c>
      <c r="Q73" s="54">
        <v>1</v>
      </c>
      <c r="R73" s="54">
        <v>10</v>
      </c>
      <c r="S73" s="54">
        <f t="shared" si="54"/>
        <v>5</v>
      </c>
      <c r="T73" s="64" t="str">
        <f t="shared" si="55"/>
        <v>Düşük Risk</v>
      </c>
      <c r="U73" s="22"/>
      <c r="V73" s="22"/>
      <c r="W73" s="22"/>
      <c r="X73" s="22"/>
      <c r="Z73" s="22"/>
      <c r="AA73" s="22"/>
      <c r="AB73" s="22"/>
      <c r="AC73" s="22"/>
      <c r="AD73" s="22"/>
      <c r="AE73" s="22"/>
      <c r="AF73" s="22"/>
      <c r="AG73" s="22"/>
      <c r="AH73" s="22"/>
    </row>
    <row r="74" spans="1:34" s="78" customFormat="1" ht="60" customHeight="1" x14ac:dyDescent="0.3">
      <c r="A74" s="80">
        <v>67</v>
      </c>
      <c r="B74" s="83"/>
      <c r="C74" s="22" t="s">
        <v>377</v>
      </c>
      <c r="D74" s="22" t="s">
        <v>374</v>
      </c>
      <c r="E74" s="22" t="s">
        <v>375</v>
      </c>
      <c r="F74" s="1" t="s">
        <v>376</v>
      </c>
      <c r="G74" s="81">
        <v>3</v>
      </c>
      <c r="H74" s="81">
        <v>3</v>
      </c>
      <c r="I74" s="81">
        <v>3</v>
      </c>
      <c r="J74" s="54">
        <f t="shared" ref="J74:J90" si="65">G74*H74*I74</f>
        <v>27</v>
      </c>
      <c r="K74" s="64" t="str">
        <f t="shared" ref="K74:K90" si="66">IF(J74&lt;=20,"Düşük Risk",IF(AND(J74&gt;20,J74&lt;=70),"Olası Risk",IF(AND(J74&gt;70,J74&lt;=200),"Ciddi Risk",IF(AND(J74&gt;200,J74&lt;=400),"Kritik Risk",IF(J74&gt;400,"Kabul Edilemez Risk","Risk Puanı Doğru Tanımlanamamıştır.")))))</f>
        <v>Olası Risk</v>
      </c>
      <c r="L74" s="22" t="s">
        <v>378</v>
      </c>
      <c r="M74" s="22" t="s">
        <v>387</v>
      </c>
      <c r="N74" s="22" t="s">
        <v>314</v>
      </c>
      <c r="O74" s="22" t="s">
        <v>379</v>
      </c>
      <c r="P74" s="81">
        <v>1</v>
      </c>
      <c r="Q74" s="81">
        <v>2</v>
      </c>
      <c r="R74" s="81">
        <v>2</v>
      </c>
      <c r="S74" s="54">
        <f t="shared" ref="S74:S90" si="67">P74*Q74*R74</f>
        <v>4</v>
      </c>
      <c r="T74" s="64" t="str">
        <f t="shared" ref="T74:T90" si="68">IF(S74&lt;=20,"Düşük Risk",IF(AND(S74&gt;20,S74&lt;=70),"Olası Risk",IF(AND(S74&gt;70,S74&lt;=200),"Ciddi Risk",IF(AND(S74&gt;200,S74&lt;=400),"Kritik Risk",IF(S74&gt;400,"Kabul Edilemez Risk","Risk Puanı Doğru Tanımlanamamıştır.")))))</f>
        <v>Düşük Risk</v>
      </c>
      <c r="U74" s="22"/>
      <c r="V74" s="22"/>
      <c r="W74" s="22"/>
      <c r="X74" s="22"/>
      <c r="Z74" s="76"/>
      <c r="AA74" s="76"/>
      <c r="AB74" s="76"/>
      <c r="AC74" s="76"/>
      <c r="AD74" s="76"/>
      <c r="AE74" s="76"/>
      <c r="AF74" s="76"/>
      <c r="AG74" s="76"/>
      <c r="AH74" s="76"/>
    </row>
    <row r="75" spans="1:34" s="78" customFormat="1" ht="60" customHeight="1" x14ac:dyDescent="0.3">
      <c r="A75" s="80">
        <v>68</v>
      </c>
      <c r="B75" s="85" t="s">
        <v>380</v>
      </c>
      <c r="C75" s="22" t="s">
        <v>381</v>
      </c>
      <c r="D75" s="22" t="s">
        <v>382</v>
      </c>
      <c r="E75" s="1" t="s">
        <v>383</v>
      </c>
      <c r="F75" s="1" t="s">
        <v>384</v>
      </c>
      <c r="G75" s="81">
        <v>4</v>
      </c>
      <c r="H75" s="81">
        <v>2</v>
      </c>
      <c r="I75" s="81">
        <v>4</v>
      </c>
      <c r="J75" s="54">
        <f t="shared" ref="J75:J80" si="69">G75*H75*I75</f>
        <v>32</v>
      </c>
      <c r="K75" s="64" t="str">
        <f t="shared" ref="K75:K80" si="70">IF(J75&lt;=20,"Düşük Risk",IF(AND(J75&gt;20,J75&lt;=70),"Olası Risk",IF(AND(J75&gt;70,J75&lt;=200),"Ciddi Risk",IF(AND(J75&gt;200,J75&lt;=400),"Kritik Risk",IF(J75&gt;400,"Kabul Edilemez Risk","Risk Puanı Doğru Tanımlanamamıştır.")))))</f>
        <v>Olası Risk</v>
      </c>
      <c r="L75" s="22" t="s">
        <v>385</v>
      </c>
      <c r="M75" s="22" t="s">
        <v>386</v>
      </c>
      <c r="N75" s="22" t="s">
        <v>314</v>
      </c>
      <c r="O75" s="22" t="s">
        <v>388</v>
      </c>
      <c r="P75" s="81">
        <v>2</v>
      </c>
      <c r="Q75" s="81">
        <v>1</v>
      </c>
      <c r="R75" s="81">
        <v>2</v>
      </c>
      <c r="S75" s="54">
        <f t="shared" ref="S75:S80" si="71">P75*Q75*R75</f>
        <v>4</v>
      </c>
      <c r="T75" s="64" t="str">
        <f t="shared" ref="T75:T80" si="72">IF(S75&lt;=20,"Düşük Risk",IF(AND(S75&gt;20,S75&lt;=70),"Olası Risk",IF(AND(S75&gt;70,S75&lt;=200),"Ciddi Risk",IF(AND(S75&gt;200,S75&lt;=400),"Kritik Risk",IF(S75&gt;400,"Kabul Edilemez Risk","Risk Puanı Doğru Tanımlanamamıştır.")))))</f>
        <v>Düşük Risk</v>
      </c>
      <c r="U75" s="22"/>
      <c r="V75" s="22"/>
      <c r="W75" s="22"/>
      <c r="X75" s="22"/>
      <c r="Z75" s="76"/>
      <c r="AA75" s="76"/>
      <c r="AB75" s="76"/>
      <c r="AC75" s="76"/>
      <c r="AD75" s="76"/>
      <c r="AE75" s="76"/>
      <c r="AF75" s="76"/>
      <c r="AG75" s="76"/>
      <c r="AH75" s="76"/>
    </row>
    <row r="76" spans="1:34" s="78" customFormat="1" ht="60" customHeight="1" x14ac:dyDescent="0.3">
      <c r="A76" s="80">
        <v>69</v>
      </c>
      <c r="B76" s="86"/>
      <c r="C76" s="22" t="s">
        <v>389</v>
      </c>
      <c r="D76" s="22" t="s">
        <v>390</v>
      </c>
      <c r="E76" s="1" t="s">
        <v>391</v>
      </c>
      <c r="F76" s="1" t="s">
        <v>392</v>
      </c>
      <c r="G76" s="81">
        <v>3</v>
      </c>
      <c r="H76" s="81">
        <v>2</v>
      </c>
      <c r="I76" s="81">
        <v>3</v>
      </c>
      <c r="J76" s="54">
        <f t="shared" si="69"/>
        <v>18</v>
      </c>
      <c r="K76" s="64" t="str">
        <f t="shared" si="70"/>
        <v>Düşük Risk</v>
      </c>
      <c r="L76" s="22" t="s">
        <v>393</v>
      </c>
      <c r="M76" s="22" t="s">
        <v>386</v>
      </c>
      <c r="N76" s="22" t="s">
        <v>314</v>
      </c>
      <c r="O76" s="22" t="s">
        <v>394</v>
      </c>
      <c r="P76" s="81">
        <v>2</v>
      </c>
      <c r="Q76" s="81">
        <v>1</v>
      </c>
      <c r="R76" s="81">
        <v>2</v>
      </c>
      <c r="S76" s="54">
        <f t="shared" si="71"/>
        <v>4</v>
      </c>
      <c r="T76" s="64" t="str">
        <f t="shared" si="72"/>
        <v>Düşük Risk</v>
      </c>
      <c r="U76" s="22"/>
      <c r="V76" s="22"/>
      <c r="W76" s="22"/>
      <c r="X76" s="22"/>
      <c r="Z76" s="76"/>
      <c r="AA76" s="76"/>
      <c r="AB76" s="76"/>
      <c r="AC76" s="76"/>
      <c r="AD76" s="76"/>
      <c r="AE76" s="76"/>
      <c r="AF76" s="76"/>
      <c r="AG76" s="76"/>
      <c r="AH76" s="76"/>
    </row>
    <row r="77" spans="1:34" s="78" customFormat="1" ht="60" customHeight="1" x14ac:dyDescent="0.3">
      <c r="A77" s="80">
        <v>70</v>
      </c>
      <c r="B77" s="87"/>
      <c r="C77" s="22" t="s">
        <v>395</v>
      </c>
      <c r="D77" s="22" t="s">
        <v>396</v>
      </c>
      <c r="E77" s="1" t="s">
        <v>364</v>
      </c>
      <c r="F77" s="1" t="s">
        <v>397</v>
      </c>
      <c r="G77" s="81">
        <v>2</v>
      </c>
      <c r="H77" s="81">
        <v>3</v>
      </c>
      <c r="I77" s="81">
        <v>2</v>
      </c>
      <c r="J77" s="54">
        <f t="shared" si="69"/>
        <v>12</v>
      </c>
      <c r="K77" s="64" t="str">
        <f t="shared" si="70"/>
        <v>Düşük Risk</v>
      </c>
      <c r="L77" s="22" t="s">
        <v>398</v>
      </c>
      <c r="M77" s="22" t="s">
        <v>386</v>
      </c>
      <c r="N77" s="22" t="s">
        <v>314</v>
      </c>
      <c r="O77" s="22"/>
      <c r="P77" s="81">
        <v>1</v>
      </c>
      <c r="Q77" s="81">
        <v>2</v>
      </c>
      <c r="R77" s="81">
        <v>1</v>
      </c>
      <c r="S77" s="54">
        <f t="shared" si="71"/>
        <v>2</v>
      </c>
      <c r="T77" s="64" t="str">
        <f t="shared" si="72"/>
        <v>Düşük Risk</v>
      </c>
      <c r="U77" s="22"/>
      <c r="V77" s="22"/>
      <c r="W77" s="22"/>
      <c r="X77" s="22"/>
      <c r="Z77" s="76"/>
      <c r="AA77" s="76"/>
      <c r="AB77" s="76"/>
      <c r="AC77" s="76"/>
      <c r="AD77" s="76"/>
      <c r="AE77" s="76"/>
      <c r="AF77" s="76"/>
      <c r="AG77" s="76"/>
      <c r="AH77" s="76"/>
    </row>
    <row r="78" spans="1:34" s="78" customFormat="1" ht="60" customHeight="1" x14ac:dyDescent="0.3">
      <c r="A78" s="80">
        <v>71</v>
      </c>
      <c r="B78" s="85" t="s">
        <v>409</v>
      </c>
      <c r="C78" s="22" t="s">
        <v>410</v>
      </c>
      <c r="D78" s="22" t="s">
        <v>411</v>
      </c>
      <c r="E78" s="1" t="s">
        <v>401</v>
      </c>
      <c r="F78" s="1" t="s">
        <v>412</v>
      </c>
      <c r="G78" s="81">
        <v>4</v>
      </c>
      <c r="H78" s="81">
        <v>2</v>
      </c>
      <c r="I78" s="81">
        <v>4</v>
      </c>
      <c r="J78" s="54">
        <f t="shared" si="69"/>
        <v>32</v>
      </c>
      <c r="K78" s="64" t="str">
        <f t="shared" si="70"/>
        <v>Olası Risk</v>
      </c>
      <c r="L78" s="22" t="s">
        <v>413</v>
      </c>
      <c r="M78" s="22" t="s">
        <v>414</v>
      </c>
      <c r="N78" s="22" t="s">
        <v>314</v>
      </c>
      <c r="O78" s="22"/>
      <c r="P78" s="81">
        <v>2</v>
      </c>
      <c r="Q78" s="81">
        <v>1</v>
      </c>
      <c r="R78" s="81">
        <v>3</v>
      </c>
      <c r="S78" s="54">
        <f t="shared" si="71"/>
        <v>6</v>
      </c>
      <c r="T78" s="64" t="str">
        <f t="shared" si="72"/>
        <v>Düşük Risk</v>
      </c>
      <c r="U78" s="22"/>
      <c r="V78" s="22"/>
      <c r="W78" s="22"/>
      <c r="X78" s="22"/>
      <c r="Z78" s="76"/>
      <c r="AA78" s="76"/>
      <c r="AB78" s="76"/>
      <c r="AC78" s="76"/>
      <c r="AD78" s="76"/>
      <c r="AE78" s="76"/>
      <c r="AF78" s="76"/>
      <c r="AG78" s="76"/>
      <c r="AH78" s="76"/>
    </row>
    <row r="79" spans="1:34" s="78" customFormat="1" ht="60" customHeight="1" x14ac:dyDescent="0.3">
      <c r="A79" s="80">
        <v>72</v>
      </c>
      <c r="B79" s="87"/>
      <c r="C79" s="22" t="s">
        <v>415</v>
      </c>
      <c r="D79" s="22" t="s">
        <v>416</v>
      </c>
      <c r="E79" s="1" t="s">
        <v>417</v>
      </c>
      <c r="F79" s="1" t="s">
        <v>418</v>
      </c>
      <c r="G79" s="81">
        <v>4</v>
      </c>
      <c r="H79" s="81">
        <v>2</v>
      </c>
      <c r="I79" s="81">
        <v>3</v>
      </c>
      <c r="J79" s="54">
        <f t="shared" si="69"/>
        <v>24</v>
      </c>
      <c r="K79" s="64" t="str">
        <f t="shared" si="70"/>
        <v>Olası Risk</v>
      </c>
      <c r="L79" s="22" t="s">
        <v>419</v>
      </c>
      <c r="M79" s="22" t="s">
        <v>414</v>
      </c>
      <c r="N79" s="22" t="s">
        <v>314</v>
      </c>
      <c r="O79" s="22"/>
      <c r="P79" s="81">
        <v>2</v>
      </c>
      <c r="Q79" s="81">
        <v>2</v>
      </c>
      <c r="R79" s="81">
        <v>2</v>
      </c>
      <c r="S79" s="54">
        <f t="shared" si="71"/>
        <v>8</v>
      </c>
      <c r="T79" s="64" t="str">
        <f t="shared" si="72"/>
        <v>Düşük Risk</v>
      </c>
      <c r="U79" s="22"/>
      <c r="V79" s="22"/>
      <c r="W79" s="22"/>
      <c r="X79" s="22"/>
      <c r="Z79" s="76"/>
      <c r="AA79" s="76"/>
      <c r="AB79" s="76"/>
      <c r="AC79" s="76"/>
      <c r="AD79" s="76"/>
      <c r="AE79" s="76"/>
      <c r="AF79" s="76"/>
      <c r="AG79" s="76"/>
      <c r="AH79" s="76"/>
    </row>
    <row r="80" spans="1:34" s="78" customFormat="1" ht="60" customHeight="1" x14ac:dyDescent="0.3">
      <c r="A80" s="80">
        <v>73</v>
      </c>
      <c r="B80" s="85" t="s">
        <v>421</v>
      </c>
      <c r="C80" s="22" t="s">
        <v>420</v>
      </c>
      <c r="D80" s="22" t="s">
        <v>422</v>
      </c>
      <c r="E80" s="1" t="s">
        <v>423</v>
      </c>
      <c r="F80" s="1" t="s">
        <v>424</v>
      </c>
      <c r="G80" s="81">
        <v>4</v>
      </c>
      <c r="H80" s="81">
        <v>4</v>
      </c>
      <c r="I80" s="81">
        <v>4</v>
      </c>
      <c r="J80" s="54">
        <f t="shared" si="69"/>
        <v>64</v>
      </c>
      <c r="K80" s="64" t="str">
        <f t="shared" si="70"/>
        <v>Olası Risk</v>
      </c>
      <c r="L80" s="22" t="s">
        <v>425</v>
      </c>
      <c r="M80" s="22" t="s">
        <v>426</v>
      </c>
      <c r="N80" s="22" t="s">
        <v>314</v>
      </c>
      <c r="O80" s="22" t="s">
        <v>427</v>
      </c>
      <c r="P80" s="81">
        <v>2</v>
      </c>
      <c r="Q80" s="81">
        <v>4</v>
      </c>
      <c r="R80" s="81">
        <v>1</v>
      </c>
      <c r="S80" s="54">
        <f t="shared" si="71"/>
        <v>8</v>
      </c>
      <c r="T80" s="64" t="str">
        <f t="shared" si="72"/>
        <v>Düşük Risk</v>
      </c>
      <c r="U80" s="22"/>
      <c r="V80" s="22"/>
      <c r="W80" s="22"/>
      <c r="X80" s="22"/>
      <c r="Z80" s="76"/>
      <c r="AA80" s="76"/>
      <c r="AB80" s="76"/>
      <c r="AC80" s="76"/>
      <c r="AD80" s="76"/>
      <c r="AE80" s="76"/>
      <c r="AF80" s="76"/>
      <c r="AG80" s="76"/>
      <c r="AH80" s="76"/>
    </row>
    <row r="81" spans="1:34" s="78" customFormat="1" ht="60" customHeight="1" x14ac:dyDescent="0.3">
      <c r="A81" s="80">
        <v>74</v>
      </c>
      <c r="B81" s="86"/>
      <c r="C81" s="22" t="s">
        <v>428</v>
      </c>
      <c r="D81" s="22" t="s">
        <v>429</v>
      </c>
      <c r="E81" s="1" t="s">
        <v>430</v>
      </c>
      <c r="F81" s="1" t="s">
        <v>431</v>
      </c>
      <c r="G81" s="81">
        <v>4</v>
      </c>
      <c r="H81" s="81">
        <v>3</v>
      </c>
      <c r="I81" s="81">
        <v>4</v>
      </c>
      <c r="J81" s="54">
        <f t="shared" ref="J81:J85" si="73">G81*H81*I81</f>
        <v>48</v>
      </c>
      <c r="K81" s="64" t="str">
        <f t="shared" ref="K81:K85" si="74">IF(J81&lt;=20,"Düşük Risk",IF(AND(J81&gt;20,J81&lt;=70),"Olası Risk",IF(AND(J81&gt;70,J81&lt;=200),"Ciddi Risk",IF(AND(J81&gt;200,J81&lt;=400),"Kritik Risk",IF(J81&gt;400,"Kabul Edilemez Risk","Risk Puanı Doğru Tanımlanamamıştır.")))))</f>
        <v>Olası Risk</v>
      </c>
      <c r="L81" s="22" t="s">
        <v>432</v>
      </c>
      <c r="M81" s="22" t="s">
        <v>433</v>
      </c>
      <c r="N81" s="22" t="s">
        <v>314</v>
      </c>
      <c r="O81" s="22" t="s">
        <v>434</v>
      </c>
      <c r="P81" s="81">
        <v>1</v>
      </c>
      <c r="Q81" s="81">
        <v>3</v>
      </c>
      <c r="R81" s="81">
        <v>2</v>
      </c>
      <c r="S81" s="54">
        <f t="shared" ref="S81:S87" si="75">P81*Q81*R81</f>
        <v>6</v>
      </c>
      <c r="T81" s="64" t="str">
        <f t="shared" ref="T81:T87" si="76">IF(S81&lt;=20,"Düşük Risk",IF(AND(S81&gt;20,S81&lt;=70),"Olası Risk",IF(AND(S81&gt;70,S81&lt;=200),"Ciddi Risk",IF(AND(S81&gt;200,S81&lt;=400),"Kritik Risk",IF(S81&gt;400,"Kabul Edilemez Risk","Risk Puanı Doğru Tanımlanamamıştır.")))))</f>
        <v>Düşük Risk</v>
      </c>
      <c r="U81" s="22"/>
      <c r="V81" s="22"/>
      <c r="W81" s="22"/>
      <c r="X81" s="22"/>
      <c r="Z81" s="76"/>
      <c r="AA81" s="76"/>
      <c r="AB81" s="76"/>
      <c r="AC81" s="76"/>
      <c r="AD81" s="76"/>
      <c r="AE81" s="76"/>
      <c r="AF81" s="76"/>
      <c r="AG81" s="76"/>
      <c r="AH81" s="76"/>
    </row>
    <row r="82" spans="1:34" s="78" customFormat="1" ht="60" customHeight="1" x14ac:dyDescent="0.3">
      <c r="A82" s="80">
        <v>75</v>
      </c>
      <c r="B82" s="86"/>
      <c r="C82" s="22" t="s">
        <v>435</v>
      </c>
      <c r="D82" s="22" t="s">
        <v>436</v>
      </c>
      <c r="E82" s="1" t="s">
        <v>437</v>
      </c>
      <c r="F82" s="1" t="s">
        <v>438</v>
      </c>
      <c r="G82" s="81">
        <v>3</v>
      </c>
      <c r="H82" s="81">
        <v>3</v>
      </c>
      <c r="I82" s="81">
        <v>3</v>
      </c>
      <c r="J82" s="54">
        <f t="shared" si="73"/>
        <v>27</v>
      </c>
      <c r="K82" s="64" t="str">
        <f t="shared" si="74"/>
        <v>Olası Risk</v>
      </c>
      <c r="L82" s="22" t="s">
        <v>439</v>
      </c>
      <c r="M82" s="22" t="s">
        <v>426</v>
      </c>
      <c r="N82" s="22" t="s">
        <v>314</v>
      </c>
      <c r="O82" s="22" t="s">
        <v>440</v>
      </c>
      <c r="P82" s="81">
        <v>1</v>
      </c>
      <c r="Q82" s="81">
        <v>3</v>
      </c>
      <c r="R82" s="81">
        <v>1</v>
      </c>
      <c r="S82" s="54">
        <f t="shared" si="75"/>
        <v>3</v>
      </c>
      <c r="T82" s="64" t="str">
        <f t="shared" si="76"/>
        <v>Düşük Risk</v>
      </c>
      <c r="U82" s="22"/>
      <c r="V82" s="22"/>
      <c r="W82" s="22"/>
      <c r="X82" s="22"/>
      <c r="Z82" s="76"/>
      <c r="AA82" s="76"/>
      <c r="AB82" s="76"/>
      <c r="AC82" s="76"/>
      <c r="AD82" s="76"/>
      <c r="AE82" s="76"/>
      <c r="AF82" s="76"/>
      <c r="AG82" s="76"/>
      <c r="AH82" s="76"/>
    </row>
    <row r="83" spans="1:34" s="78" customFormat="1" ht="60" customHeight="1" x14ac:dyDescent="0.3">
      <c r="A83" s="80">
        <v>76</v>
      </c>
      <c r="B83" s="87"/>
      <c r="C83" s="22" t="s">
        <v>441</v>
      </c>
      <c r="D83" s="22" t="s">
        <v>442</v>
      </c>
      <c r="E83" s="1" t="s">
        <v>443</v>
      </c>
      <c r="F83" s="1" t="s">
        <v>444</v>
      </c>
      <c r="G83" s="81">
        <v>4</v>
      </c>
      <c r="H83" s="81">
        <v>2</v>
      </c>
      <c r="I83" s="81">
        <v>4</v>
      </c>
      <c r="J83" s="54">
        <f t="shared" si="73"/>
        <v>32</v>
      </c>
      <c r="K83" s="64" t="str">
        <f t="shared" si="74"/>
        <v>Olası Risk</v>
      </c>
      <c r="L83" s="22" t="s">
        <v>445</v>
      </c>
      <c r="M83" s="22" t="s">
        <v>426</v>
      </c>
      <c r="N83" s="22" t="s">
        <v>314</v>
      </c>
      <c r="O83" s="22" t="s">
        <v>446</v>
      </c>
      <c r="P83" s="81">
        <v>2</v>
      </c>
      <c r="Q83" s="81">
        <v>2</v>
      </c>
      <c r="R83" s="81">
        <v>2</v>
      </c>
      <c r="S83" s="54">
        <f t="shared" si="75"/>
        <v>8</v>
      </c>
      <c r="T83" s="64" t="str">
        <f t="shared" si="76"/>
        <v>Düşük Risk</v>
      </c>
      <c r="U83" s="22"/>
      <c r="V83" s="22"/>
      <c r="W83" s="22"/>
      <c r="X83" s="22"/>
      <c r="Z83" s="76"/>
      <c r="AA83" s="76"/>
      <c r="AB83" s="76"/>
      <c r="AC83" s="76"/>
      <c r="AD83" s="76"/>
      <c r="AE83" s="76"/>
      <c r="AF83" s="76"/>
      <c r="AG83" s="76"/>
      <c r="AH83" s="76"/>
    </row>
    <row r="84" spans="1:34" s="78" customFormat="1" ht="60" customHeight="1" x14ac:dyDescent="0.3">
      <c r="A84" s="80">
        <v>77</v>
      </c>
      <c r="B84" s="85" t="s">
        <v>447</v>
      </c>
      <c r="C84" s="22" t="s">
        <v>448</v>
      </c>
      <c r="D84" s="22" t="s">
        <v>449</v>
      </c>
      <c r="E84" s="1" t="s">
        <v>443</v>
      </c>
      <c r="F84" s="1" t="s">
        <v>450</v>
      </c>
      <c r="G84" s="81">
        <v>4</v>
      </c>
      <c r="H84" s="81">
        <v>2</v>
      </c>
      <c r="I84" s="81">
        <v>4</v>
      </c>
      <c r="J84" s="54">
        <f t="shared" si="73"/>
        <v>32</v>
      </c>
      <c r="K84" s="64" t="str">
        <f t="shared" si="74"/>
        <v>Olası Risk</v>
      </c>
      <c r="L84" s="22" t="s">
        <v>451</v>
      </c>
      <c r="M84" s="22" t="s">
        <v>452</v>
      </c>
      <c r="N84" s="22" t="s">
        <v>314</v>
      </c>
      <c r="O84" s="22" t="s">
        <v>453</v>
      </c>
      <c r="P84" s="81">
        <v>2</v>
      </c>
      <c r="Q84" s="81">
        <v>2</v>
      </c>
      <c r="R84" s="81">
        <v>2</v>
      </c>
      <c r="S84" s="54">
        <f t="shared" si="75"/>
        <v>8</v>
      </c>
      <c r="T84" s="64" t="str">
        <f t="shared" si="76"/>
        <v>Düşük Risk</v>
      </c>
      <c r="U84" s="22"/>
      <c r="V84" s="22"/>
      <c r="W84" s="22"/>
      <c r="X84" s="22"/>
      <c r="Z84" s="76"/>
      <c r="AA84" s="76"/>
      <c r="AB84" s="76"/>
      <c r="AC84" s="76"/>
      <c r="AD84" s="76"/>
      <c r="AE84" s="76"/>
      <c r="AF84" s="76"/>
      <c r="AG84" s="76"/>
      <c r="AH84" s="76"/>
    </row>
    <row r="85" spans="1:34" s="78" customFormat="1" ht="60" customHeight="1" x14ac:dyDescent="0.3">
      <c r="A85" s="80">
        <v>78</v>
      </c>
      <c r="B85" s="86"/>
      <c r="C85" s="22" t="s">
        <v>454</v>
      </c>
      <c r="D85" s="22" t="s">
        <v>455</v>
      </c>
      <c r="E85" s="1" t="s">
        <v>456</v>
      </c>
      <c r="F85" s="1" t="s">
        <v>457</v>
      </c>
      <c r="G85" s="81">
        <v>4</v>
      </c>
      <c r="H85" s="81">
        <v>2</v>
      </c>
      <c r="I85" s="81">
        <v>3</v>
      </c>
      <c r="J85" s="54">
        <f t="shared" si="73"/>
        <v>24</v>
      </c>
      <c r="K85" s="64" t="str">
        <f t="shared" si="74"/>
        <v>Olası Risk</v>
      </c>
      <c r="L85" s="22" t="s">
        <v>458</v>
      </c>
      <c r="M85" s="22" t="s">
        <v>452</v>
      </c>
      <c r="N85" s="22" t="s">
        <v>314</v>
      </c>
      <c r="O85" s="22" t="s">
        <v>459</v>
      </c>
      <c r="P85" s="81">
        <v>2</v>
      </c>
      <c r="Q85" s="81">
        <v>2</v>
      </c>
      <c r="R85" s="81">
        <v>2</v>
      </c>
      <c r="S85" s="54">
        <f t="shared" si="75"/>
        <v>8</v>
      </c>
      <c r="T85" s="64" t="str">
        <f t="shared" si="76"/>
        <v>Düşük Risk</v>
      </c>
      <c r="U85" s="22"/>
      <c r="V85" s="22"/>
      <c r="W85" s="22"/>
      <c r="X85" s="22"/>
      <c r="Z85" s="76"/>
      <c r="AA85" s="76"/>
      <c r="AB85" s="76"/>
      <c r="AC85" s="76"/>
      <c r="AD85" s="76"/>
      <c r="AE85" s="76"/>
      <c r="AF85" s="76"/>
      <c r="AG85" s="76"/>
      <c r="AH85" s="76"/>
    </row>
    <row r="86" spans="1:34" s="78" customFormat="1" ht="60" customHeight="1" x14ac:dyDescent="0.3">
      <c r="A86" s="80">
        <v>79</v>
      </c>
      <c r="B86" s="87"/>
      <c r="C86" s="22" t="s">
        <v>460</v>
      </c>
      <c r="D86" s="22" t="s">
        <v>461</v>
      </c>
      <c r="E86" s="1" t="s">
        <v>462</v>
      </c>
      <c r="F86" s="1" t="s">
        <v>463</v>
      </c>
      <c r="G86" s="81">
        <v>2</v>
      </c>
      <c r="H86" s="81">
        <v>4</v>
      </c>
      <c r="I86" s="81">
        <v>2</v>
      </c>
      <c r="J86" s="54">
        <f t="shared" ref="J86:J87" si="77">G86*H86*I86</f>
        <v>16</v>
      </c>
      <c r="K86" s="64" t="str">
        <f t="shared" ref="K86:K87" si="78">IF(J86&lt;=20,"Düşük Risk",IF(AND(J86&gt;20,J86&lt;=70),"Olası Risk",IF(AND(J86&gt;70,J86&lt;=200),"Ciddi Risk",IF(AND(J86&gt;200,J86&lt;=400),"Kritik Risk",IF(J86&gt;400,"Kabul Edilemez Risk","Risk Puanı Doğru Tanımlanamamıştır.")))))</f>
        <v>Düşük Risk</v>
      </c>
      <c r="L86" s="22" t="s">
        <v>464</v>
      </c>
      <c r="M86" s="22" t="s">
        <v>452</v>
      </c>
      <c r="N86" s="22" t="s">
        <v>314</v>
      </c>
      <c r="O86" s="22" t="s">
        <v>465</v>
      </c>
      <c r="P86" s="81">
        <v>2</v>
      </c>
      <c r="Q86" s="81">
        <v>2</v>
      </c>
      <c r="R86" s="81">
        <v>1</v>
      </c>
      <c r="S86" s="54">
        <f t="shared" si="75"/>
        <v>4</v>
      </c>
      <c r="T86" s="64" t="str">
        <f t="shared" si="76"/>
        <v>Düşük Risk</v>
      </c>
      <c r="U86" s="22"/>
      <c r="V86" s="22"/>
      <c r="W86" s="22"/>
      <c r="X86" s="22"/>
      <c r="Z86" s="76"/>
      <c r="AA86" s="76"/>
      <c r="AB86" s="76"/>
      <c r="AC86" s="76"/>
      <c r="AD86" s="76"/>
      <c r="AE86" s="76"/>
      <c r="AF86" s="76"/>
      <c r="AG86" s="76"/>
      <c r="AH86" s="76"/>
    </row>
    <row r="87" spans="1:34" s="78" customFormat="1" ht="60" customHeight="1" x14ac:dyDescent="0.3">
      <c r="A87" s="80">
        <v>80</v>
      </c>
      <c r="B87" s="83" t="s">
        <v>466</v>
      </c>
      <c r="C87" s="22" t="s">
        <v>467</v>
      </c>
      <c r="D87" s="22" t="s">
        <v>468</v>
      </c>
      <c r="E87" s="1" t="s">
        <v>443</v>
      </c>
      <c r="F87" s="1" t="s">
        <v>469</v>
      </c>
      <c r="G87" s="81">
        <v>4</v>
      </c>
      <c r="H87" s="81">
        <v>3</v>
      </c>
      <c r="I87" s="81">
        <v>4</v>
      </c>
      <c r="J87" s="54">
        <f t="shared" si="77"/>
        <v>48</v>
      </c>
      <c r="K87" s="64" t="str">
        <f t="shared" si="78"/>
        <v>Olası Risk</v>
      </c>
      <c r="L87" s="22" t="s">
        <v>470</v>
      </c>
      <c r="M87" s="22" t="s">
        <v>471</v>
      </c>
      <c r="N87" s="22" t="s">
        <v>314</v>
      </c>
      <c r="O87" s="22" t="s">
        <v>472</v>
      </c>
      <c r="P87" s="81">
        <v>2</v>
      </c>
      <c r="Q87" s="81">
        <v>3</v>
      </c>
      <c r="R87" s="81">
        <v>2</v>
      </c>
      <c r="S87" s="54">
        <f t="shared" si="75"/>
        <v>12</v>
      </c>
      <c r="T87" s="64" t="str">
        <f t="shared" si="76"/>
        <v>Düşük Risk</v>
      </c>
      <c r="U87" s="22"/>
      <c r="V87" s="22"/>
      <c r="W87" s="22"/>
      <c r="X87" s="22"/>
      <c r="Z87" s="76"/>
      <c r="AA87" s="76"/>
      <c r="AB87" s="76"/>
      <c r="AC87" s="76"/>
      <c r="AD87" s="76"/>
      <c r="AE87" s="76"/>
      <c r="AF87" s="76"/>
      <c r="AG87" s="76"/>
      <c r="AH87" s="76"/>
    </row>
    <row r="88" spans="1:34" s="78" customFormat="1" ht="60" customHeight="1" x14ac:dyDescent="0.3">
      <c r="A88" s="80">
        <v>81</v>
      </c>
      <c r="B88" s="83"/>
      <c r="C88" s="22" t="s">
        <v>473</v>
      </c>
      <c r="D88" s="22" t="s">
        <v>474</v>
      </c>
      <c r="E88" s="1" t="s">
        <v>475</v>
      </c>
      <c r="F88" s="1" t="s">
        <v>476</v>
      </c>
      <c r="G88" s="81">
        <v>3</v>
      </c>
      <c r="H88" s="81">
        <v>2</v>
      </c>
      <c r="I88" s="81">
        <v>3</v>
      </c>
      <c r="J88" s="54">
        <f t="shared" si="65"/>
        <v>18</v>
      </c>
      <c r="K88" s="64" t="str">
        <f t="shared" si="66"/>
        <v>Düşük Risk</v>
      </c>
      <c r="L88" s="22" t="s">
        <v>477</v>
      </c>
      <c r="M88" s="22" t="s">
        <v>471</v>
      </c>
      <c r="N88" s="22" t="s">
        <v>314</v>
      </c>
      <c r="O88" s="22" t="s">
        <v>478</v>
      </c>
      <c r="P88" s="81">
        <v>2</v>
      </c>
      <c r="Q88" s="81">
        <v>2</v>
      </c>
      <c r="R88" s="81">
        <v>1</v>
      </c>
      <c r="S88" s="54">
        <f t="shared" si="67"/>
        <v>4</v>
      </c>
      <c r="T88" s="64" t="str">
        <f t="shared" si="68"/>
        <v>Düşük Risk</v>
      </c>
      <c r="U88" s="22"/>
      <c r="V88" s="22"/>
      <c r="W88" s="22"/>
      <c r="X88" s="22"/>
      <c r="Z88" s="76"/>
      <c r="AA88" s="76"/>
      <c r="AB88" s="76"/>
      <c r="AC88" s="76"/>
      <c r="AD88" s="76"/>
      <c r="AE88" s="76"/>
      <c r="AF88" s="76"/>
      <c r="AG88" s="76"/>
      <c r="AH88" s="76"/>
    </row>
    <row r="89" spans="1:34" s="78" customFormat="1" ht="60" customHeight="1" x14ac:dyDescent="0.3">
      <c r="A89" s="80">
        <v>82</v>
      </c>
      <c r="B89" s="85" t="s">
        <v>480</v>
      </c>
      <c r="C89" s="22" t="s">
        <v>479</v>
      </c>
      <c r="D89" s="22" t="s">
        <v>481</v>
      </c>
      <c r="E89" s="1" t="s">
        <v>482</v>
      </c>
      <c r="F89" s="1" t="s">
        <v>483</v>
      </c>
      <c r="G89" s="81">
        <v>3</v>
      </c>
      <c r="H89" s="81">
        <v>2</v>
      </c>
      <c r="I89" s="81">
        <v>3</v>
      </c>
      <c r="J89" s="54">
        <f t="shared" si="65"/>
        <v>18</v>
      </c>
      <c r="K89" s="64" t="str">
        <f t="shared" si="66"/>
        <v>Düşük Risk</v>
      </c>
      <c r="L89" s="22" t="s">
        <v>484</v>
      </c>
      <c r="M89" s="22" t="s">
        <v>485</v>
      </c>
      <c r="N89" s="22" t="s">
        <v>314</v>
      </c>
      <c r="O89" s="22" t="s">
        <v>486</v>
      </c>
      <c r="P89" s="81">
        <v>2</v>
      </c>
      <c r="Q89" s="81">
        <v>2</v>
      </c>
      <c r="R89" s="81">
        <v>2</v>
      </c>
      <c r="S89" s="54">
        <f t="shared" si="67"/>
        <v>8</v>
      </c>
      <c r="T89" s="64" t="str">
        <f t="shared" si="68"/>
        <v>Düşük Risk</v>
      </c>
      <c r="U89" s="22"/>
      <c r="V89" s="22"/>
      <c r="W89" s="22"/>
      <c r="X89" s="22"/>
      <c r="Z89" s="76"/>
      <c r="AA89" s="76"/>
      <c r="AB89" s="76"/>
      <c r="AC89" s="76"/>
      <c r="AD89" s="76"/>
      <c r="AE89" s="76"/>
      <c r="AF89" s="76"/>
      <c r="AG89" s="76"/>
      <c r="AH89" s="76"/>
    </row>
    <row r="90" spans="1:34" s="78" customFormat="1" ht="60" customHeight="1" x14ac:dyDescent="0.3">
      <c r="A90" s="80">
        <v>83</v>
      </c>
      <c r="B90" s="87"/>
      <c r="C90" s="22" t="s">
        <v>487</v>
      </c>
      <c r="D90" s="22" t="s">
        <v>488</v>
      </c>
      <c r="E90" s="1" t="s">
        <v>489</v>
      </c>
      <c r="F90" s="1" t="s">
        <v>490</v>
      </c>
      <c r="G90" s="81">
        <v>2</v>
      </c>
      <c r="H90" s="81">
        <v>3</v>
      </c>
      <c r="I90" s="81">
        <v>2</v>
      </c>
      <c r="J90" s="54">
        <f t="shared" si="65"/>
        <v>12</v>
      </c>
      <c r="K90" s="64" t="str">
        <f t="shared" si="66"/>
        <v>Düşük Risk</v>
      </c>
      <c r="L90" s="22" t="s">
        <v>491</v>
      </c>
      <c r="M90" s="22" t="s">
        <v>485</v>
      </c>
      <c r="N90" s="22" t="s">
        <v>314</v>
      </c>
      <c r="O90" s="22" t="s">
        <v>492</v>
      </c>
      <c r="P90" s="81">
        <v>1</v>
      </c>
      <c r="Q90" s="81">
        <v>3</v>
      </c>
      <c r="R90" s="81">
        <v>1</v>
      </c>
      <c r="S90" s="54">
        <f t="shared" si="67"/>
        <v>3</v>
      </c>
      <c r="T90" s="64" t="str">
        <f t="shared" si="68"/>
        <v>Düşük Risk</v>
      </c>
      <c r="U90" s="22"/>
      <c r="V90" s="22"/>
      <c r="W90" s="22"/>
      <c r="X90" s="22"/>
      <c r="Z90" s="76"/>
      <c r="AA90" s="76"/>
      <c r="AB90" s="76"/>
      <c r="AC90" s="76"/>
      <c r="AD90" s="76"/>
      <c r="AE90" s="76"/>
      <c r="AF90" s="76"/>
      <c r="AG90" s="76"/>
      <c r="AH90" s="76"/>
    </row>
    <row r="91" spans="1:34" ht="15.6" x14ac:dyDescent="0.3">
      <c r="A91" s="73"/>
      <c r="B91" s="124" t="s">
        <v>114</v>
      </c>
      <c r="C91" s="82"/>
      <c r="D91" s="82"/>
      <c r="E91" s="82"/>
      <c r="F91" s="82"/>
    </row>
    <row r="92" spans="1:34" ht="15.6" x14ac:dyDescent="0.3">
      <c r="A92" s="73"/>
      <c r="B92" s="11" t="s">
        <v>115</v>
      </c>
      <c r="C92" s="11" t="s">
        <v>116</v>
      </c>
      <c r="D92" s="11" t="s">
        <v>117</v>
      </c>
      <c r="E92" s="11" t="s">
        <v>118</v>
      </c>
      <c r="F92" s="11" t="s">
        <v>119</v>
      </c>
    </row>
    <row r="93" spans="1:34" ht="15.6" x14ac:dyDescent="0.3">
      <c r="A93" s="73"/>
      <c r="B93" s="12">
        <v>1</v>
      </c>
      <c r="C93" s="12">
        <v>0</v>
      </c>
      <c r="D93" s="13">
        <v>44890</v>
      </c>
      <c r="E93" s="12" t="s">
        <v>120</v>
      </c>
      <c r="F93" s="12" t="s">
        <v>121</v>
      </c>
    </row>
    <row r="94" spans="1:34" ht="15.6" x14ac:dyDescent="0.3">
      <c r="A94" s="73"/>
      <c r="B94" s="12">
        <v>2</v>
      </c>
      <c r="C94" s="12">
        <v>1</v>
      </c>
      <c r="D94" s="13">
        <v>45265</v>
      </c>
      <c r="E94" s="12" t="s">
        <v>122</v>
      </c>
      <c r="F94" s="12" t="s">
        <v>121</v>
      </c>
    </row>
    <row r="95" spans="1:34" ht="46.8" x14ac:dyDescent="0.3">
      <c r="A95" s="73"/>
      <c r="B95" s="12">
        <v>3</v>
      </c>
      <c r="C95" s="12">
        <v>2</v>
      </c>
      <c r="D95" s="13">
        <v>45594</v>
      </c>
      <c r="E95" s="12" t="s">
        <v>123</v>
      </c>
      <c r="F95" s="12" t="s">
        <v>121</v>
      </c>
    </row>
    <row r="96" spans="1:34" ht="31.2" x14ac:dyDescent="0.3">
      <c r="B96" s="12">
        <v>4</v>
      </c>
      <c r="C96" s="12">
        <v>3</v>
      </c>
      <c r="D96" s="13">
        <v>45973</v>
      </c>
      <c r="E96" s="12" t="s">
        <v>353</v>
      </c>
      <c r="F96" s="12" t="s">
        <v>121</v>
      </c>
    </row>
    <row r="97" spans="2:6" ht="15.6" x14ac:dyDescent="0.3">
      <c r="B97" s="12">
        <v>5</v>
      </c>
      <c r="C97" s="12"/>
      <c r="D97" s="13"/>
      <c r="E97" s="12"/>
      <c r="F97" s="12"/>
    </row>
  </sheetData>
  <mergeCells count="49">
    <mergeCell ref="B84:B86"/>
    <mergeCell ref="B87:B88"/>
    <mergeCell ref="B89:B90"/>
    <mergeCell ref="C33:C37"/>
    <mergeCell ref="B42:B44"/>
    <mergeCell ref="D56:D57"/>
    <mergeCell ref="AE6:AH6"/>
    <mergeCell ref="G6:K6"/>
    <mergeCell ref="P6:T6"/>
    <mergeCell ref="L6:L7"/>
    <mergeCell ref="M6:M7"/>
    <mergeCell ref="C21:C24"/>
    <mergeCell ref="C25:C28"/>
    <mergeCell ref="B8:B28"/>
    <mergeCell ref="U6:X6"/>
    <mergeCell ref="Z6:AD6"/>
    <mergeCell ref="C29:C32"/>
    <mergeCell ref="B38:B39"/>
    <mergeCell ref="B29:B37"/>
    <mergeCell ref="A1:C5"/>
    <mergeCell ref="C16:C20"/>
    <mergeCell ref="A6:A7"/>
    <mergeCell ref="C6:C7"/>
    <mergeCell ref="B6:B7"/>
    <mergeCell ref="C8:C15"/>
    <mergeCell ref="E6:E7"/>
    <mergeCell ref="F6:F7"/>
    <mergeCell ref="D6:D7"/>
    <mergeCell ref="O6:O7"/>
    <mergeCell ref="D1:AE5"/>
    <mergeCell ref="AF1:AG1"/>
    <mergeCell ref="AF2:AG2"/>
    <mergeCell ref="N6:N7"/>
    <mergeCell ref="AF3:AG3"/>
    <mergeCell ref="AF4:AG4"/>
    <mergeCell ref="AF5:AG5"/>
    <mergeCell ref="B91:F91"/>
    <mergeCell ref="B58:B59"/>
    <mergeCell ref="B53:B54"/>
    <mergeCell ref="B45:B47"/>
    <mergeCell ref="B55:B57"/>
    <mergeCell ref="B60:B65"/>
    <mergeCell ref="B66:B68"/>
    <mergeCell ref="B69:B72"/>
    <mergeCell ref="B73:B74"/>
    <mergeCell ref="B75:B77"/>
    <mergeCell ref="B49:B51"/>
    <mergeCell ref="B78:B79"/>
    <mergeCell ref="B80:B83"/>
  </mergeCells>
  <conditionalFormatting sqref="K19">
    <cfRule type="colorScale" priority="54">
      <colorScale>
        <cfvo type="min"/>
        <cfvo type="max"/>
        <color rgb="FFFFFF00"/>
        <color rgb="FFFF0000"/>
      </colorScale>
    </cfRule>
  </conditionalFormatting>
  <conditionalFormatting sqref="K23">
    <cfRule type="colorScale" priority="53">
      <colorScale>
        <cfvo type="min"/>
        <cfvo type="max"/>
        <color rgb="FFFFFF00"/>
        <color rgb="FFFF0000"/>
      </colorScale>
    </cfRule>
  </conditionalFormatting>
  <conditionalFormatting sqref="K25">
    <cfRule type="colorScale" priority="52">
      <colorScale>
        <cfvo type="min"/>
        <cfvo type="max"/>
        <color rgb="FFFFFF00"/>
        <color rgb="FFFF0000"/>
      </colorScale>
    </cfRule>
  </conditionalFormatting>
  <conditionalFormatting sqref="K26">
    <cfRule type="colorScale" priority="51">
      <colorScale>
        <cfvo type="min"/>
        <cfvo type="max"/>
        <color rgb="FFFFFF00"/>
        <color rgb="FFFF0000"/>
      </colorScale>
    </cfRule>
  </conditionalFormatting>
  <conditionalFormatting sqref="K28">
    <cfRule type="colorScale" priority="50">
      <colorScale>
        <cfvo type="min"/>
        <cfvo type="max"/>
        <color rgb="FFFFFF00"/>
        <color rgb="FFFF0000"/>
      </colorScale>
    </cfRule>
  </conditionalFormatting>
  <conditionalFormatting sqref="K27">
    <cfRule type="colorScale" priority="49">
      <colorScale>
        <cfvo type="min"/>
        <cfvo type="max"/>
        <color rgb="FFFFFF00"/>
        <color rgb="FFFF0000"/>
      </colorScale>
    </cfRule>
  </conditionalFormatting>
  <conditionalFormatting sqref="K29">
    <cfRule type="colorScale" priority="48">
      <colorScale>
        <cfvo type="min"/>
        <cfvo type="max"/>
        <color rgb="FFFFFF00"/>
        <color rgb="FFFF0000"/>
      </colorScale>
    </cfRule>
  </conditionalFormatting>
  <conditionalFormatting sqref="K30">
    <cfRule type="colorScale" priority="47">
      <colorScale>
        <cfvo type="min"/>
        <cfvo type="max"/>
        <color rgb="FFFFFF00"/>
        <color rgb="FFFF0000"/>
      </colorScale>
    </cfRule>
  </conditionalFormatting>
  <conditionalFormatting sqref="K32">
    <cfRule type="colorScale" priority="46">
      <colorScale>
        <cfvo type="min"/>
        <cfvo type="max"/>
        <color rgb="FFFFFF00"/>
        <color rgb="FFFF0000"/>
      </colorScale>
    </cfRule>
  </conditionalFormatting>
  <conditionalFormatting sqref="K33">
    <cfRule type="colorScale" priority="45">
      <colorScale>
        <cfvo type="min"/>
        <cfvo type="max"/>
        <color rgb="FFFFFF00"/>
        <color rgb="FFFF0000"/>
      </colorScale>
    </cfRule>
  </conditionalFormatting>
  <conditionalFormatting sqref="K34:K35">
    <cfRule type="colorScale" priority="44">
      <colorScale>
        <cfvo type="min"/>
        <cfvo type="max"/>
        <color rgb="FFFFFF00"/>
        <color rgb="FFFF0000"/>
      </colorScale>
    </cfRule>
  </conditionalFormatting>
  <conditionalFormatting sqref="K36">
    <cfRule type="colorScale" priority="43">
      <colorScale>
        <cfvo type="min"/>
        <cfvo type="max"/>
        <color rgb="FFFFFF00"/>
        <color rgb="FFFF0000"/>
      </colorScale>
    </cfRule>
  </conditionalFormatting>
  <conditionalFormatting sqref="K37">
    <cfRule type="colorScale" priority="42">
      <colorScale>
        <cfvo type="min"/>
        <cfvo type="max"/>
        <color rgb="FFFFFF00"/>
        <color rgb="FFFF0000"/>
      </colorScale>
    </cfRule>
  </conditionalFormatting>
  <conditionalFormatting sqref="K38">
    <cfRule type="colorScale" priority="41">
      <colorScale>
        <cfvo type="min"/>
        <cfvo type="max"/>
        <color rgb="FFFFFF00"/>
        <color rgb="FFFF0000"/>
      </colorScale>
    </cfRule>
  </conditionalFormatting>
  <conditionalFormatting sqref="K39">
    <cfRule type="colorScale" priority="40">
      <colorScale>
        <cfvo type="min"/>
        <cfvo type="max"/>
        <color rgb="FFFFFF00"/>
        <color rgb="FFFF0000"/>
      </colorScale>
    </cfRule>
  </conditionalFormatting>
  <conditionalFormatting sqref="K41:K43">
    <cfRule type="colorScale" priority="39">
      <colorScale>
        <cfvo type="min"/>
        <cfvo type="max"/>
        <color rgb="FFFFFF00"/>
        <color rgb="FFFF0000"/>
      </colorScale>
    </cfRule>
  </conditionalFormatting>
  <conditionalFormatting sqref="K44">
    <cfRule type="colorScale" priority="38">
      <colorScale>
        <cfvo type="min"/>
        <cfvo type="max"/>
        <color rgb="FFFFFF00"/>
        <color rgb="FFFF0000"/>
      </colorScale>
    </cfRule>
  </conditionalFormatting>
  <conditionalFormatting sqref="K45:K46">
    <cfRule type="colorScale" priority="37">
      <colorScale>
        <cfvo type="min"/>
        <cfvo type="max"/>
        <color rgb="FFFFFF00"/>
        <color rgb="FFFF0000"/>
      </colorScale>
    </cfRule>
  </conditionalFormatting>
  <conditionalFormatting sqref="K47">
    <cfRule type="colorScale" priority="36">
      <colorScale>
        <cfvo type="min"/>
        <cfvo type="max"/>
        <color rgb="FFFFFF00"/>
        <color rgb="FFFF0000"/>
      </colorScale>
    </cfRule>
  </conditionalFormatting>
  <conditionalFormatting sqref="K48:K50">
    <cfRule type="colorScale" priority="35">
      <colorScale>
        <cfvo type="min"/>
        <cfvo type="max"/>
        <color rgb="FFFFFF00"/>
        <color rgb="FFFF0000"/>
      </colorScale>
    </cfRule>
  </conditionalFormatting>
  <conditionalFormatting sqref="K51">
    <cfRule type="colorScale" priority="34">
      <colorScale>
        <cfvo type="min"/>
        <cfvo type="max"/>
        <color rgb="FFFFFF00"/>
        <color rgb="FFFF0000"/>
      </colorScale>
    </cfRule>
  </conditionalFormatting>
  <conditionalFormatting sqref="K53">
    <cfRule type="colorScale" priority="33">
      <colorScale>
        <cfvo type="min"/>
        <cfvo type="max"/>
        <color rgb="FFFFFF00"/>
        <color rgb="FFFF0000"/>
      </colorScale>
    </cfRule>
  </conditionalFormatting>
  <conditionalFormatting sqref="K54">
    <cfRule type="colorScale" priority="32">
      <colorScale>
        <cfvo type="min"/>
        <cfvo type="max"/>
        <color rgb="FFFFFF00"/>
        <color rgb="FFFF0000"/>
      </colorScale>
    </cfRule>
  </conditionalFormatting>
  <conditionalFormatting sqref="K55">
    <cfRule type="colorScale" priority="31">
      <colorScale>
        <cfvo type="min"/>
        <cfvo type="max"/>
        <color rgb="FFFFFF00"/>
        <color rgb="FFFF0000"/>
      </colorScale>
    </cfRule>
  </conditionalFormatting>
  <conditionalFormatting sqref="K58">
    <cfRule type="colorScale" priority="30">
      <colorScale>
        <cfvo type="min"/>
        <cfvo type="max"/>
        <color rgb="FFFFFF00"/>
        <color rgb="FFFF0000"/>
      </colorScale>
    </cfRule>
  </conditionalFormatting>
  <conditionalFormatting sqref="K8:K18 K20:K22 K24 K31 K40 K52 K56:K57">
    <cfRule type="colorScale" priority="114">
      <colorScale>
        <cfvo type="min"/>
        <cfvo type="max"/>
        <color rgb="FFFFFF00"/>
        <color rgb="FFFF0000"/>
      </colorScale>
    </cfRule>
  </conditionalFormatting>
  <conditionalFormatting sqref="T32">
    <cfRule type="colorScale" priority="26">
      <colorScale>
        <cfvo type="min"/>
        <cfvo type="max"/>
        <color rgb="FFFFFF00"/>
        <color rgb="FFFF0000"/>
      </colorScale>
    </cfRule>
  </conditionalFormatting>
  <conditionalFormatting sqref="T33">
    <cfRule type="colorScale" priority="25">
      <colorScale>
        <cfvo type="min"/>
        <cfvo type="max"/>
        <color rgb="FFFFFF00"/>
        <color rgb="FFFF0000"/>
      </colorScale>
    </cfRule>
  </conditionalFormatting>
  <conditionalFormatting sqref="T34:T35">
    <cfRule type="colorScale" priority="24">
      <colorScale>
        <cfvo type="min"/>
        <cfvo type="max"/>
        <color rgb="FFFFFF00"/>
        <color rgb="FFFF0000"/>
      </colorScale>
    </cfRule>
  </conditionalFormatting>
  <conditionalFormatting sqref="T36">
    <cfRule type="colorScale" priority="23">
      <colorScale>
        <cfvo type="min"/>
        <cfvo type="max"/>
        <color rgb="FFFFFF00"/>
        <color rgb="FFFF0000"/>
      </colorScale>
    </cfRule>
  </conditionalFormatting>
  <conditionalFormatting sqref="T37">
    <cfRule type="colorScale" priority="22">
      <colorScale>
        <cfvo type="min"/>
        <cfvo type="max"/>
        <color rgb="FFFFFF00"/>
        <color rgb="FFFF0000"/>
      </colorScale>
    </cfRule>
  </conditionalFormatting>
  <conditionalFormatting sqref="T31">
    <cfRule type="colorScale" priority="27">
      <colorScale>
        <cfvo type="min"/>
        <cfvo type="max"/>
        <color rgb="FFFFFF00"/>
        <color rgb="FFFF0000"/>
      </colorScale>
    </cfRule>
  </conditionalFormatting>
  <conditionalFormatting sqref="T38">
    <cfRule type="colorScale" priority="20">
      <colorScale>
        <cfvo type="min"/>
        <cfvo type="max"/>
        <color rgb="FFFFFF00"/>
        <color rgb="FFFF0000"/>
      </colorScale>
    </cfRule>
  </conditionalFormatting>
  <conditionalFormatting sqref="T39">
    <cfRule type="colorScale" priority="19">
      <colorScale>
        <cfvo type="min"/>
        <cfvo type="max"/>
        <color rgb="FFFFFF00"/>
        <color rgb="FFFF0000"/>
      </colorScale>
    </cfRule>
  </conditionalFormatting>
  <conditionalFormatting sqref="T41">
    <cfRule type="colorScale" priority="18">
      <colorScale>
        <cfvo type="min"/>
        <cfvo type="max"/>
        <color rgb="FFFFFF00"/>
        <color rgb="FFFF0000"/>
      </colorScale>
    </cfRule>
  </conditionalFormatting>
  <conditionalFormatting sqref="T40">
    <cfRule type="colorScale" priority="21">
      <colorScale>
        <cfvo type="min"/>
        <cfvo type="max"/>
        <color rgb="FFFFFF00"/>
        <color rgb="FFFF0000"/>
      </colorScale>
    </cfRule>
  </conditionalFormatting>
  <conditionalFormatting sqref="T42:T43">
    <cfRule type="colorScale" priority="17">
      <colorScale>
        <cfvo type="min"/>
        <cfvo type="max"/>
        <color rgb="FFFFFF00"/>
        <color rgb="FFFF0000"/>
      </colorScale>
    </cfRule>
  </conditionalFormatting>
  <conditionalFormatting sqref="K62:K64">
    <cfRule type="colorScale" priority="15">
      <colorScale>
        <cfvo type="min"/>
        <cfvo type="max"/>
        <color rgb="FFFFFF00"/>
        <color rgb="FFFF0000"/>
      </colorScale>
    </cfRule>
  </conditionalFormatting>
  <conditionalFormatting sqref="K59:K61">
    <cfRule type="colorScale" priority="115">
      <colorScale>
        <cfvo type="min"/>
        <cfvo type="max"/>
        <color rgb="FFFFFF00"/>
        <color rgb="FFFF0000"/>
      </colorScale>
    </cfRule>
  </conditionalFormatting>
  <conditionalFormatting sqref="K65">
    <cfRule type="colorScale" priority="14">
      <colorScale>
        <cfvo type="min"/>
        <cfvo type="max"/>
        <color rgb="FFFFFF00"/>
        <color rgb="FFFF0000"/>
      </colorScale>
    </cfRule>
  </conditionalFormatting>
  <conditionalFormatting sqref="K66:K67">
    <cfRule type="colorScale" priority="12">
      <colorScale>
        <cfvo type="min"/>
        <cfvo type="max"/>
        <color rgb="FFFFFF00"/>
        <color rgb="FFFF0000"/>
      </colorScale>
    </cfRule>
  </conditionalFormatting>
  <conditionalFormatting sqref="K68">
    <cfRule type="colorScale" priority="10">
      <colorScale>
        <cfvo type="min"/>
        <cfvo type="max"/>
        <color rgb="FFFFFF00"/>
        <color rgb="FFFF0000"/>
      </colorScale>
    </cfRule>
  </conditionalFormatting>
  <conditionalFormatting sqref="K69:K72">
    <cfRule type="colorScale" priority="4">
      <colorScale>
        <cfvo type="min"/>
        <cfvo type="max"/>
        <color rgb="FFFFFF00"/>
        <color rgb="FFFF0000"/>
      </colorScale>
    </cfRule>
  </conditionalFormatting>
  <conditionalFormatting sqref="K73:K90">
    <cfRule type="colorScale" priority="116">
      <colorScale>
        <cfvo type="min"/>
        <cfvo type="max"/>
        <color rgb="FFFFFF00"/>
        <color rgb="FFFF0000"/>
      </colorScale>
    </cfRule>
  </conditionalFormatting>
  <conditionalFormatting sqref="T73:T90">
    <cfRule type="colorScale" priority="118">
      <colorScale>
        <cfvo type="min"/>
        <cfvo type="max"/>
        <color rgb="FFFFFF00"/>
        <color rgb="FFFF0000"/>
      </colorScale>
    </cfRule>
  </conditionalFormatting>
  <pageMargins left="0.7" right="0.7" top="0.75" bottom="0.75" header="0.3" footer="0.3"/>
  <pageSetup paperSize="9" scale="24" orientation="portrait" r:id="rId1"/>
  <rowBreaks count="1" manualBreakCount="1">
    <brk id="4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selection activeCell="B22" sqref="B22"/>
    </sheetView>
  </sheetViews>
  <sheetFormatPr defaultRowHeight="14.4" x14ac:dyDescent="0.3"/>
  <cols>
    <col min="1" max="1" width="15" customWidth="1"/>
    <col min="2" max="2" width="29.77734375" customWidth="1"/>
    <col min="3" max="3" width="15.88671875" customWidth="1"/>
    <col min="4" max="4" width="13.5546875" bestFit="1" customWidth="1"/>
    <col min="5" max="5" width="45.6640625" customWidth="1"/>
    <col min="7" max="7" width="11.77734375" bestFit="1" customWidth="1"/>
    <col min="8" max="8" width="45.5546875" customWidth="1"/>
  </cols>
  <sheetData>
    <row r="1" spans="1:8" ht="15" thickBot="1" x14ac:dyDescent="0.35"/>
    <row r="2" spans="1:8" x14ac:dyDescent="0.3">
      <c r="A2" s="113" t="s">
        <v>3</v>
      </c>
      <c r="B2" s="114"/>
      <c r="D2" s="113" t="s">
        <v>7</v>
      </c>
      <c r="E2" s="114"/>
      <c r="G2" s="113" t="s">
        <v>146</v>
      </c>
      <c r="H2" s="114"/>
    </row>
    <row r="3" spans="1:8" x14ac:dyDescent="0.3">
      <c r="A3" s="27" t="s">
        <v>157</v>
      </c>
      <c r="B3" s="28" t="s">
        <v>158</v>
      </c>
      <c r="D3" s="27" t="s">
        <v>157</v>
      </c>
      <c r="E3" s="28" t="s">
        <v>158</v>
      </c>
      <c r="G3" s="37" t="s">
        <v>172</v>
      </c>
      <c r="H3" s="38" t="s">
        <v>173</v>
      </c>
    </row>
    <row r="4" spans="1:8" ht="39.6" x14ac:dyDescent="0.3">
      <c r="A4" s="24">
        <v>10</v>
      </c>
      <c r="B4" s="29" t="s">
        <v>159</v>
      </c>
      <c r="D4" s="24">
        <v>1</v>
      </c>
      <c r="E4" s="32" t="s">
        <v>166</v>
      </c>
      <c r="G4" s="39">
        <v>10</v>
      </c>
      <c r="H4" s="40" t="s">
        <v>174</v>
      </c>
    </row>
    <row r="5" spans="1:8" x14ac:dyDescent="0.3">
      <c r="A5" s="24">
        <v>6</v>
      </c>
      <c r="B5" s="29" t="s">
        <v>160</v>
      </c>
      <c r="D5" s="24">
        <v>3</v>
      </c>
      <c r="E5" s="32" t="s">
        <v>167</v>
      </c>
      <c r="G5" s="24">
        <v>6</v>
      </c>
      <c r="H5" s="35" t="s">
        <v>175</v>
      </c>
    </row>
    <row r="6" spans="1:8" ht="26.4" x14ac:dyDescent="0.3">
      <c r="A6" s="24">
        <v>3</v>
      </c>
      <c r="B6" s="29" t="s">
        <v>161</v>
      </c>
      <c r="D6" s="25">
        <v>7</v>
      </c>
      <c r="E6" s="33" t="s">
        <v>168</v>
      </c>
      <c r="G6" s="24">
        <v>3</v>
      </c>
      <c r="H6" s="35" t="s">
        <v>176</v>
      </c>
    </row>
    <row r="7" spans="1:8" x14ac:dyDescent="0.3">
      <c r="A7" s="25">
        <v>1</v>
      </c>
      <c r="B7" s="30" t="s">
        <v>162</v>
      </c>
      <c r="D7" s="24">
        <v>15</v>
      </c>
      <c r="E7" s="35" t="s">
        <v>169</v>
      </c>
      <c r="G7" s="24">
        <v>2</v>
      </c>
      <c r="H7" s="35" t="s">
        <v>177</v>
      </c>
    </row>
    <row r="8" spans="1:8" ht="27" x14ac:dyDescent="0.3">
      <c r="A8" s="24">
        <v>0.5</v>
      </c>
      <c r="B8" s="29" t="s">
        <v>163</v>
      </c>
      <c r="D8" s="24">
        <v>40</v>
      </c>
      <c r="E8" s="32" t="s">
        <v>170</v>
      </c>
      <c r="G8" s="24">
        <v>1</v>
      </c>
      <c r="H8" s="35" t="s">
        <v>178</v>
      </c>
    </row>
    <row r="9" spans="1:8" ht="27.6" thickBot="1" x14ac:dyDescent="0.35">
      <c r="A9" s="24">
        <v>0.2</v>
      </c>
      <c r="B9" s="29" t="s">
        <v>164</v>
      </c>
      <c r="D9" s="36">
        <v>100</v>
      </c>
      <c r="E9" s="34" t="s">
        <v>171</v>
      </c>
      <c r="G9" s="41">
        <v>0.5</v>
      </c>
      <c r="H9" s="42" t="s">
        <v>179</v>
      </c>
    </row>
    <row r="10" spans="1:8" ht="15" thickBot="1" x14ac:dyDescent="0.35">
      <c r="A10" s="26">
        <v>0.1</v>
      </c>
      <c r="B10" s="31" t="s">
        <v>165</v>
      </c>
    </row>
    <row r="12" spans="1:8" ht="15" thickBot="1" x14ac:dyDescent="0.35">
      <c r="A12" s="119" t="s">
        <v>180</v>
      </c>
      <c r="B12" s="120"/>
      <c r="C12" s="120"/>
      <c r="D12" s="120"/>
      <c r="E12" s="120"/>
    </row>
    <row r="13" spans="1:8" x14ac:dyDescent="0.3">
      <c r="A13" s="47" t="s">
        <v>181</v>
      </c>
      <c r="B13" s="48" t="s">
        <v>182</v>
      </c>
      <c r="C13" s="49" t="s">
        <v>183</v>
      </c>
      <c r="D13" s="115" t="s">
        <v>184</v>
      </c>
      <c r="E13" s="116"/>
    </row>
    <row r="14" spans="1:8" ht="40.200000000000003" customHeight="1" x14ac:dyDescent="0.3">
      <c r="A14" s="43">
        <v>1</v>
      </c>
      <c r="B14" s="44" t="s">
        <v>185</v>
      </c>
      <c r="C14" s="44" t="s">
        <v>186</v>
      </c>
      <c r="D14" s="117" t="s">
        <v>187</v>
      </c>
      <c r="E14" s="118"/>
    </row>
    <row r="15" spans="1:8" ht="15" x14ac:dyDescent="0.3">
      <c r="A15" s="25">
        <v>2</v>
      </c>
      <c r="B15" s="44" t="s">
        <v>188</v>
      </c>
      <c r="C15" s="44" t="s">
        <v>189</v>
      </c>
      <c r="D15" s="117" t="s">
        <v>190</v>
      </c>
      <c r="E15" s="118"/>
    </row>
    <row r="16" spans="1:8" ht="15" x14ac:dyDescent="0.3">
      <c r="A16" s="25">
        <v>3</v>
      </c>
      <c r="B16" s="44" t="s">
        <v>191</v>
      </c>
      <c r="C16" s="44" t="s">
        <v>192</v>
      </c>
      <c r="D16" s="117" t="s">
        <v>193</v>
      </c>
      <c r="E16" s="118"/>
    </row>
    <row r="17" spans="1:5" ht="15" x14ac:dyDescent="0.3">
      <c r="A17" s="25">
        <v>4</v>
      </c>
      <c r="B17" s="44" t="s">
        <v>194</v>
      </c>
      <c r="C17" s="44" t="s">
        <v>195</v>
      </c>
      <c r="D17" s="117" t="s">
        <v>196</v>
      </c>
      <c r="E17" s="118"/>
    </row>
    <row r="18" spans="1:5" ht="30" thickBot="1" x14ac:dyDescent="0.35">
      <c r="A18" s="26">
        <v>5</v>
      </c>
      <c r="B18" s="45" t="s">
        <v>197</v>
      </c>
      <c r="C18" s="46" t="s">
        <v>198</v>
      </c>
      <c r="D18" s="121" t="s">
        <v>199</v>
      </c>
      <c r="E18" s="122"/>
    </row>
  </sheetData>
  <mergeCells count="10">
    <mergeCell ref="D16:E16"/>
    <mergeCell ref="D17:E17"/>
    <mergeCell ref="D18:E18"/>
    <mergeCell ref="A2:B2"/>
    <mergeCell ref="D2:E2"/>
    <mergeCell ref="G2:H2"/>
    <mergeCell ref="D13:E13"/>
    <mergeCell ref="D14:E14"/>
    <mergeCell ref="A12:E12"/>
    <mergeCell ref="D15: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ÇEVRE BOYUTLARI</vt:lpstr>
      <vt:lpstr>RİSK TANIMLAMASI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Metaz</dc:creator>
  <cp:lastModifiedBy>Kadir GEDİK</cp:lastModifiedBy>
  <cp:lastPrinted>2024-11-05T05:11:18Z</cp:lastPrinted>
  <dcterms:created xsi:type="dcterms:W3CDTF">2022-06-22T11:39:49Z</dcterms:created>
  <dcterms:modified xsi:type="dcterms:W3CDTF">2025-12-05T07:41:52Z</dcterms:modified>
</cp:coreProperties>
</file>