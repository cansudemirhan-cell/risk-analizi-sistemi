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styles.xml" ContentType="application/vnd.openxmlformats-officedocument.spreadsheetml.styles+xml"/>
  <Override PartName="/xl/ctrProps/ctrProp1.xml" ContentType="application/vnd.ms-excel.controlproperties+xml"/>
  <Override PartName="/xl/ctrProps/ctrProp2.xml" ContentType="application/vnd.ms-excel.controlproperties+xml"/>
  <Override PartName="/xl/ctrProps/ctrProp3.xml" ContentType="application/vnd.ms-excel.controlproperties+xml"/>
  <Override PartName="/xl/ctrProps/ctrProp4.xml" ContentType="application/vnd.ms-excel.controlproperties+xml"/>
  <Override PartName="/xl/ctrProps/ctrProp5.xml" ContentType="application/vnd.ms-excel.controlproperties+xml"/>
  <Override PartName="/xl/ctrProps/ctrProp6.xml" ContentType="application/vnd.ms-excel.controlproperties+xml"/>
  <Override PartName="/xl/drawings/drawing1.xml" ContentType="application/vnd.openxmlformats-officedocument.drawing+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4" rupBuild="9303"/>
  <workbookPr defaultThemeVersion="124226"/>
  <bookViews>
    <workbookView xWindow="0" yWindow="0" windowWidth="20496" windowHeight="8340" activeTab="0"/>
  </bookViews>
  <sheets>
    <sheet name="RİSK DEĞERLENDİRME" sheetId="6" r:id="rId3"/>
  </sheets>
  <definedNames>
    <definedName name="_xlnm._FilterDatabase" localSheetId="0" hidden="1">'RİSK DEĞERLENDİRME'!$B$14:$Y$170</definedName>
    <definedName name="_xlnm.Print_Area" localSheetId="0">'RİSK DEĞERLENDİRME'!$B$1:$Y$170</definedName>
    <definedName name="_xlnm.Print_Titles" localSheetId="0">'RİSK DEĞERLENDİRME'!$4:$16</definedName>
    <definedName name="_xlnm._FilterDatabase" localSheetId="0" hidden="1">'RİSK DEĞERLENDİRME'!$B$14:$Y$170</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Y168" i="6" l="1"/>
</calcChain>
</file>

<file path=xl/sharedStrings.xml><?xml version="1.0" encoding="utf-8"?>
<sst xmlns="http://schemas.openxmlformats.org/spreadsheetml/2006/main" count="2034" uniqueCount="715">
  <si>
    <t>Sıra No</t>
  </si>
  <si>
    <t>Risk</t>
  </si>
  <si>
    <t>Risk Değeri</t>
  </si>
  <si>
    <t>Alınacak Önlem</t>
  </si>
  <si>
    <t>Olasılık</t>
  </si>
  <si>
    <t>Şiddet</t>
  </si>
  <si>
    <t>Sorumlu</t>
  </si>
  <si>
    <t>Risk Değerlendirme ekip çalışmasına katılanların Adı-Soyadı</t>
  </si>
  <si>
    <t>1 Çok Hafif</t>
  </si>
  <si>
    <t>2 Hafif</t>
  </si>
  <si>
    <t>3 Orta</t>
  </si>
  <si>
    <t>4 Ciddi</t>
  </si>
  <si>
    <t>5 Çok Ciddi</t>
  </si>
  <si>
    <t>5 Çok Yüksek</t>
  </si>
  <si>
    <t>4 Yüksek</t>
  </si>
  <si>
    <t>Süreçte değişiklik</t>
  </si>
  <si>
    <t>Kaza</t>
  </si>
  <si>
    <t>2 Düşük</t>
  </si>
  <si>
    <t>Yasalarda Değişiklik</t>
  </si>
  <si>
    <t>Diğer</t>
  </si>
  <si>
    <t>1 Çok Düşük</t>
  </si>
  <si>
    <t>Görev, faaliyet, İş, Ekipman</t>
  </si>
  <si>
    <t xml:space="preserve">  Tehlike  / Tehlikeli olay</t>
  </si>
  <si>
    <t>Geçerlilik tarihi</t>
  </si>
  <si>
    <t>Termin Süresi / Öncelik sırası</t>
  </si>
  <si>
    <t>Ekipman Değişikliği</t>
  </si>
  <si>
    <t>Personel Değişikliği</t>
  </si>
  <si>
    <t>Açıklama/ Gerçekleşme</t>
  </si>
  <si>
    <t>Tarih</t>
  </si>
  <si>
    <t>Risk Altındakiler</t>
  </si>
  <si>
    <t>Referans standartlar veya yasalar / yorumlar: 6331 sayılı İş Sağlığı ve Güvenliği Kanunu, İş Sağlığı ve Güvenliği Risk Değerlendirme Yönetmeliği</t>
  </si>
  <si>
    <t>RİSK DEĞERLENDİRMESİ VE YÖNETİM PROGRAMI FORMU</t>
  </si>
  <si>
    <t>Yasal Dayanak</t>
  </si>
  <si>
    <t>MATRIS</t>
  </si>
  <si>
    <t>Sonuç</t>
  </si>
  <si>
    <t>Düşük
1-4</t>
  </si>
  <si>
    <t>Yüksek
10-15</t>
  </si>
  <si>
    <t>Çok Yüksek
16-25</t>
  </si>
  <si>
    <t>Orta
5-9</t>
  </si>
  <si>
    <t>Önlem Sonrası Risk Bileşenleri</t>
  </si>
  <si>
    <t xml:space="preserve">Önlem Öncesi Risk bileşenleri  </t>
  </si>
  <si>
    <t xml:space="preserve">4)Destek Elemanı 
</t>
  </si>
  <si>
    <t xml:space="preserve">5. Destek Elemanı
</t>
  </si>
  <si>
    <t>OLASILIK</t>
  </si>
  <si>
    <t>ŞİDDET</t>
  </si>
  <si>
    <t>Mevcut Durum</t>
  </si>
  <si>
    <t>Bu proje için için kabul edilebilir risk düzeyi 6 olarak tanımlanmıştır.</t>
  </si>
  <si>
    <t xml:space="preserve"> Risk Analizinin Revizyon No:  0       Revizyon Tarihi: 0</t>
  </si>
  <si>
    <t>İŞLETMENİN TAMAMI</t>
  </si>
  <si>
    <t>İş kazası</t>
  </si>
  <si>
    <t>Tüm çalışanlar, ziyaretçiler</t>
  </si>
  <si>
    <t/>
  </si>
  <si>
    <t>ATIK YÖNETİMİ YÖNETMELİĞİ</t>
  </si>
  <si>
    <t>İşveren / İşveren vekili</t>
  </si>
  <si>
    <t>KİMYASAL MADDELERLE ÇALIŞMALARDA SAĞLIK VE GÜVENLİK ÖNLEMLERİ HAKKINDA YÖNETMELİK</t>
  </si>
  <si>
    <t>Tüm Çalışanlar</t>
  </si>
  <si>
    <t>RG 28681 sayılı 18 Haziran 2013 tarihli "İşyerlerinde Acil Durumlar Hakkında Yönetmelik"</t>
  </si>
  <si>
    <t xml:space="preserve">İŞ EKİPMANLARININ KULLANIMINDA SAĞLIK VE GÜVENLİK ŞARTLARI YÖNETMELİĞİ </t>
  </si>
  <si>
    <t>İLKYARDIM YÖNETMELİĞİ</t>
  </si>
  <si>
    <t>Devrilebilecek ekipmanlar / Sarsıntılarda devrilebilen ekipmanlar</t>
  </si>
  <si>
    <t>Takılma, düşme, malzeme ve ekipman altında kalma, ezilme</t>
  </si>
  <si>
    <t>Sarsıntı durumunda devrilebilecek ekipmanlar, sarsıntıda devrilmeyecek şekilde sabitlenecek</t>
  </si>
  <si>
    <t>Acil durumlar / Acil durumlarda hızlı iletişim kurulamaması.</t>
  </si>
  <si>
    <t>Can ve mal kayıpları artabilir.</t>
  </si>
  <si>
    <t>İlk yardım, acil tıbbi müdahale, kurtarma ve yangınla mücadele konularında işyeri dışındaki kuruluşların irtibat numaraları işyerinden görünür bir yerde asılı halde bulunmalıdır.</t>
  </si>
  <si>
    <t>RG 18.06.2013 tarih ve 28681 sayılı "İŞYERLERİNDE ACİL DURUMLAR HAKKINDA YÖNETMELİK"-Dokümantasyon-5) İlk yardım, acil tıbbi müdahale, kurtarma ve yangınla mücadele konularında işyeri dışındaki kuruluşların irtibat numaraları.</t>
  </si>
  <si>
    <t>Emziren çalışanın işe başlaması için gerekli sağlık raporu / Emziren çalışanın işe başlayabilmesi için gerekli sağlık raporunun olmaması</t>
  </si>
  <si>
    <t>idari para cezası</t>
  </si>
  <si>
    <t>Kadın Çalışanlar</t>
  </si>
  <si>
    <t xml:space="preserve">Emziren çalışanların, doğum izninin bitiminde ve işe başlamalarından   önce, çalışmalarına engel durumları olmadığının raporla belirlenmesi gerekir. Çalışmasının   sakıncalı olduğu hekim raporu ile belirlenen çalışan, raporda belirtilen süre ve işlerde   çalıştırılamaz.   </t>
  </si>
  <si>
    <t xml:space="preserve">RG 28737 sayılı 16.08.2013 tarihli Gebe Veya Emziren Kadınların Çalıştırılma Şartlarıyla Emzirme Odaları Ve Çocuk Bakım Yurtlarına Dair Yönetmelik Madde 12 - Emziren çalışanların, doğum izninin bitiminde ve işe başlamalarından   önce, çalışmalarına engel durumları olmadığının raporla belirlenmesi gerekir. Çalışmasının   sakıncalı olduğu hekim raporu ile belirlenen çalışan, raporda belirtilen süre ve işlerde   çalıştırılamaz.   </t>
  </si>
  <si>
    <t>Çalışma Ortamı / Olası bulaşıcı hastalık vakası önleme tedbirlerinin olmaması</t>
  </si>
  <si>
    <t>Bulaşıcı hastalığa yakalanma</t>
  </si>
  <si>
    <t>Olası bir bulaşıcı hastalık vakası yaşanması durumunda uygulanacak program belirlenmeli sorumlular atanmalıdır.</t>
  </si>
  <si>
    <t>BULAŞICI HASTALIKLAR SÜRVEYANS VE KONTROL ESASLARI YÖNETMELİĞİ, Tıbbi Atıkların Kontrolü Yönetmeliği, ATIK YÖNETİMİ YÖNETMELİĞİ</t>
  </si>
  <si>
    <t>Elektrik çarpması</t>
  </si>
  <si>
    <t>Çalışma Ortamı / 3'lü grup prizlere birden fazla priz bağlanması</t>
  </si>
  <si>
    <t>Elektrik akımına kapılma,kıvılcım oluşması,yangın</t>
  </si>
  <si>
    <t>Bir grup prize(3’lü grup priz vb.) normalden fazla sayıda elektrikli alet bağlanmamakta ve grup prizler birbirine bağlanarak kullanılmaması sağlanmalıdır.</t>
  </si>
  <si>
    <t>Çalışma Ortamı / Son kullanım tarihi geçmiş kimyasalların kullanımı</t>
  </si>
  <si>
    <t>Kimyasal zararlılara maruz kalma</t>
  </si>
  <si>
    <t>Çalışma Ortamı / Atıkların birlikte taşınması,depolanması</t>
  </si>
  <si>
    <t>Atıkların reaksiyona girmesi,kimyasal gaz oluşumu,parlama,yangın</t>
  </si>
  <si>
    <t>Tıbbi atıklar, diğer atıklardan ayrı olarak ve saklanması, taşınması gibi durumlar için ilgili mevzuatda ayrı ayrı belirtilen koşullarda muhafaza edilmelidir.</t>
  </si>
  <si>
    <t>Çalışma Ortamı / Rafların sabitlenmemiş olması</t>
  </si>
  <si>
    <t>Rafların çökmesi,malzeme devrilmesi,malzeme altında kalma</t>
  </si>
  <si>
    <t>Raflar; duvarlara ve birbirlerine monte edilmelidir, uygun bağlantı elemanlarıyla devrilmeleri engellenmelidir.Rafların statik yük hesaplamaları yapılmalıdır.</t>
  </si>
  <si>
    <t>Gebe çalışan / Gebe çalışana  periyodik kontroller için izin verilmemesi</t>
  </si>
  <si>
    <t>Anne ve bebek sağlığının olumsuz etkilenmesi</t>
  </si>
  <si>
    <t xml:space="preserve"> Gebe çalışanlara gebelikleri süresince, periyodik kontrolleri için ücretli izin   verilir. </t>
  </si>
  <si>
    <t xml:space="preserve">RG 28737 sayılı 16.08.2013 tarihli Gebe Veya Emziren Kadınların Çalıştırılma Şartlarıyla Emzirme Odaları Ve Çocuk Bakım Yurtlarına Dair Yönetmelik Madde 11 -  Gebe çalışanlara gebelikleri süresince, periyodik kontrolleri için ücretli izin   verilir. </t>
  </si>
  <si>
    <t>Çalışma Ortamı / Elektrikli donanımların amacı dışında kullanılması</t>
  </si>
  <si>
    <t>Elektrikli donanımlar amacı dışında, uygunsuz olarak kullanılmamalıdır.</t>
  </si>
  <si>
    <t>Çalışma Ortamı / Ana elektrik panosunda sigorta olmaması</t>
  </si>
  <si>
    <t>Elektrik çarpması,yangın</t>
  </si>
  <si>
    <t>Ana elektrik panosunda sigorta bulunmalıdır.</t>
  </si>
  <si>
    <t>ELEKTRİK TESİSLERİ EMNİYET YÖNETMELİGİ, ELEKTRİK İÇ TESİSLERİ YÖNETMELİĞİ, ELEKTRİK KUVVETLİ AKIM TESİSLERİ YÖNETMELİGİ</t>
  </si>
  <si>
    <t>Gebe veya yeni doğum yapmış çalışanlar / Gebe veya yeni doğum yapmış çalışanların gece çalıştırılması</t>
  </si>
  <si>
    <t>psikososyal riskler, motivasyon eksikliği,kaza ve yaralanmalar</t>
  </si>
  <si>
    <t xml:space="preserve"> Kadın çalışanlar, gebe olduklarının sağlık raporuyla tespitinden itibaren   doğuma kadar geçen sürede gece çalışmaya zorlanamazlar. Yeni doğum yapmış çalışanın doğumu izleyen bir yıl boyunca gece çalıştırılması   yasaktır.</t>
  </si>
  <si>
    <t xml:space="preserve">RG 28737 sayılı 16.08.2013 tarihli Gebe Veya Emziren Kadınların Çalıştırılma Şartlarıyla Emzirme Odaları Ve Çocuk Bakım Yurtlarına Dair Yönetmelik Madde 8 - (1) Kadın çalışanlar, gebe olduklarının sağlık raporuyla tespitinden itibaren   doğuma kadar geçen sürede gece çalışmaya zorlanamazlar.   (2) Yeni doğum yapmış çalışanın doğumu izleyen bir yıl boyunca gece çalıştırılması   yasaktır. Bu sürenin sonunda sağlık ve güvenlik açısından sakıncalı olduğunun sağlık   raporu ile belirlendiği dönem boyunca gece çalıştırılmaz.     </t>
  </si>
  <si>
    <t>Çalışma Ortamı / Elektrik bakım onarım kontrol faaliyetlerinde uygun kişisel koruyucu kullanılmaması</t>
  </si>
  <si>
    <t>Elektrikli ekipmanlara müdahale ve bakım onarım işlemlerinde uygun kişisel koruyucu donanımlar kullanılmalıdır.</t>
  </si>
  <si>
    <t>Gece postasında çalışan kadınlar / Kadın çalışanların gece postasında yedi buçuk saatten fazla çalıştırılması</t>
  </si>
  <si>
    <t>Motivasyon eksikliği, dikkatsizlik, kaza ve yaralanmalar</t>
  </si>
  <si>
    <t>Kadın çalışanlar her ne şekilde olursa olsun gece postasında yedi buçuk   saatten fazla çalıştırılamaz.</t>
  </si>
  <si>
    <t xml:space="preserve">RG 28717 sayılı 24.07.2013 tarihli Kadın Çalışanların Gece Postalarında  Çalıştırılma Koşulları Hakkında Yönetmelik Madde 5 -   Kadın çalışanlar her ne şekilde olursa olsun gece postasında yedi buçuk   saatten fazla çalıştırılamaz.   </t>
  </si>
  <si>
    <t>Çalışma Ortamı / Elektrikli ekipmanların sıvılarla teması</t>
  </si>
  <si>
    <t>Elektrikli ekipmanların ıslak ortam, su ve kimyasal içerikli ürünler ile temas ettirilmemesi sağlanmalıdır.</t>
  </si>
  <si>
    <t>Çalışma Ortamı / Sigortaların korunaksız yerde olması</t>
  </si>
  <si>
    <t>Tüm sigortaların korunaklı yerlerde olması sağlanmalıdır.</t>
  </si>
  <si>
    <t>Çalışma Ortamı / Çalışanlara yaptıkları işe uygun malzeme verilmemesi</t>
  </si>
  <si>
    <t>Sürekli sırt boyun el kol ağrıları,mafsal iltihaplar</t>
  </si>
  <si>
    <t>Çalışanlara, yaptıkları işe uygun masa, sandalye veya destek ekipman sağlanmalıdır. Ergonomik düzenlemeler yapılmalı.Sandalye sırtlıkları ayarlanabilir olmalı çalışanların sürekli eğilmesini gerektirecek çalışma koşullarında düzenlemeler yapılmalıdır.</t>
  </si>
  <si>
    <t>6331. SAYILI İŞ SAĞLIĞI VE GÜVENLİĞİ KANUNU, EKRANLI ARAÇLARLA ÇALIŞMALARDA SAĞLIK VE GÜVENLİK ÖNLEMLERİ HAKKINDA YÖNETMELİK</t>
  </si>
  <si>
    <t>Çalışma Ortamı / Kırık camların toplanmaması</t>
  </si>
  <si>
    <t>Kesilme,batma,delme</t>
  </si>
  <si>
    <t>Kırık camlar için kullanılabilir durumda bir kap bulunmalıdır.</t>
  </si>
  <si>
    <t>Çalışma Ortamı / Yalıtımı hasar görmüş elektrik kabloları</t>
  </si>
  <si>
    <t>Elektrik iletim hatlarında yalıtımı hasar görmüş ve kabloların açığa çıktığı herhangi bir noktanın bulunmaması sağlanmalıdır.</t>
  </si>
  <si>
    <t>Çalışma Ortamı / Elektrik sisteminde topraklama yapılmaması</t>
  </si>
  <si>
    <t>Elektrik akımına kapılma</t>
  </si>
  <si>
    <t>Elektrik sisteminde uygun topraklama yapılmalıdır.</t>
  </si>
  <si>
    <t>Çalışma Ortamı / Elektrik donanımlarının ve elektrik sisteminin bakım onarım ve periyodik kontrollerinin yapılmaması</t>
  </si>
  <si>
    <t>Elektrik çarpması,aşırı akım,yangın</t>
  </si>
  <si>
    <t>Elektrikli donanımların ve elektrik sisteminin bakım ve onarımı belirli periyotlarla yapılmalıdır.</t>
  </si>
  <si>
    <t>Çalışma Ortamı / Kimyasalların malzeme güvenlik bilgi formu olmaması</t>
  </si>
  <si>
    <t>Yanlış depolama,güvenlik kurallarına aykırı çalışma</t>
  </si>
  <si>
    <t>Depolama alanında kimyasalların güvenlik bilgi formları bulunmalıdır.</t>
  </si>
  <si>
    <t>Çalışma Ortamı / Elektrikli ekipmanların ıslak elle kullanılması</t>
  </si>
  <si>
    <t>Elektrikli donanım, ıslak/ nemli halde iken ve/veya ıslak/ nemli ellerle ve giysilerle kullanılmaması sağlanmalıdır.</t>
  </si>
  <si>
    <t>Acil durum yönlendirme işaretleri / Acil durum yönlendirme işaretlerinin olmaması</t>
  </si>
  <si>
    <t>Kargaşa, kaza,yaralanma</t>
  </si>
  <si>
    <t xml:space="preserve">Birden fazla çıkışı olan bütün binalarda, kullanıcıların çıkışlara kolaylıkla ulaşabilmesi için acil   durum yönlendirmesi yapılır. </t>
  </si>
  <si>
    <t xml:space="preserve">RG 26735 sayılı 19.12.2007 tarihli Binaların Yangından  Korunması Hakkında Yönetmelik Madde 73 - Birden fazla çıkışı olan bütün binalarda, kullanıcıların çıkışlara kolaylıkla ulaşabilmesi için acil   durum yönlendirmesi yapılır. Acil durum hâlinde, bina içerisinde tahliye için kullanılacak olan çıkışların konumları ve bina   içerisindeki her bir noktadan planlanan çıkış yolu bina içindekilere gösterilmek üzere, acil durum çıkış işaretlerinin   yerleştirilmesi şarttır.  </t>
  </si>
  <si>
    <t>Çalışma Ortamı / Elle ağır yüklerin taşınması</t>
  </si>
  <si>
    <t>Kas ve iskelet sistemi rahatsızlıkları,malzeme düşürme,ezilme</t>
  </si>
  <si>
    <t>Elle taşınamayacak kadar ağır yüklerin çalışanlarca kaldırılması engellenmelidir.</t>
  </si>
  <si>
    <t>ELLE TAŞIMA İŞLERİ YÖNETMELİĞİ</t>
  </si>
  <si>
    <t>Çalışma Ortamı / Ekipmanların ağırlıklarına göre dizilmemesi</t>
  </si>
  <si>
    <t>Ağır malzemelerin düşmesi,kas ve iskelet sistemi rahatsızlıkları</t>
  </si>
  <si>
    <t>Ekipmanlar, ağır olanlar alt raflarda, hafifler üst raflarda yer alacak şekilde istiflenmelidir.</t>
  </si>
  <si>
    <t>6331. SAYILI İŞ SAĞLIĞI VE GÜVENLİĞİ KANUNU</t>
  </si>
  <si>
    <t>Çalışma Ortamı / Yüksek yerlere yerleştirilmiş nesnelerin sabitlenmemesi</t>
  </si>
  <si>
    <t>Yüksekten malzeme düşmesi</t>
  </si>
  <si>
    <t>Yüksek yerlere yerleştirilmiş nesnelerin hepsi düşmelerini engelleyecek şekilde emniyete alınmış ya da sabitlenmiş olmalıdır. Raf sistemlerinin statik dayanım hesaplamaları yaptırılmalıdır. Raflar üzerinde ne kadar yük taşıyacağı belirtimelidir. Raf önler</t>
  </si>
  <si>
    <t>Çalışma Ortamı / Çalışanların vücutlarını dinlendirmemesi</t>
  </si>
  <si>
    <t>Kas ve iskelet sistemi rahatsızlıkları</t>
  </si>
  <si>
    <t>Günlük çalışma süresi boyunca yapılan işin gereği vücudun belli bir bölgesi sabitken diğer bölgesi ile çok sık ve uzun süreli tekrarlanan hareket yapılıyorsa veya uzun süreli aynı pozisyonda çalışılıyor ya da ayakta kalınıyorsa görev değişimi veya belli aralıklarla vücut dinlendirilmesi yapılmalıdır.</t>
  </si>
  <si>
    <t>Çalışma Ortamı / Tehlike işaretlerinin olmaması</t>
  </si>
  <si>
    <t>Personelin dikkatsiz davranması,hatalı güvensiz çalışma,iş kazaları</t>
  </si>
  <si>
    <t>Kapılarda görünecek şekilde gerekli tehlike işaretleri bulunmalıdır.</t>
  </si>
  <si>
    <t xml:space="preserve">6331. SAYILI İŞ SAĞLIĞI VE GÜVENLİĞİ KANUNU, </t>
  </si>
  <si>
    <t>Çalışma Ortamı / Sağlık ve güvenlik işaretleri eğitiminin verilmemesi</t>
  </si>
  <si>
    <t>Çalışanların dikkatsiz davranması,farkındalık yaratamama,kurallara uymama</t>
  </si>
  <si>
    <t>Çalışanlar güvenlik ve sağlık işaretlerinin anlamları konusunda eğitilmiş olmalıdır.</t>
  </si>
  <si>
    <t>Çalışma Ortamı / Çalışanların iş sağlığı ve güvenliği eğitimlerinin olmaması</t>
  </si>
  <si>
    <t>İş kazaları ve meslek hastalıklarına karşı bilincin oluşmaması koruma sağlamama</t>
  </si>
  <si>
    <t>Çalışanlar iş sağlığı ve güvenliği konusunda eğitim almış ve belgelendirilmiş olmalıdır.</t>
  </si>
  <si>
    <t>6332. SAYILI İŞ SAĞLIĞI VE GÜVENLİĞİ KANUNU</t>
  </si>
  <si>
    <t>Çalışma Ortamı / Kaçak akım rölesinin ana elektrik hattına bağlanmamış olması</t>
  </si>
  <si>
    <t>Kaçak akım rölesi ana elektrik hattına bağlanmış olmalıdır.</t>
  </si>
  <si>
    <t>Acil durum yönlendirme işaretleri / Acil durum yönlendirme işaretlerinin uygun yerlerde ve boyutta olmaması</t>
  </si>
  <si>
    <t>Acil durum anında kargara, kaza yaralanma</t>
  </si>
  <si>
    <t xml:space="preserve"> Kaçış yollarında yönlendirme işaretleri dışında, kaçış yönü ile ilgili tereddüt ve karışıklık yaratabilecek hiçbir   ışıklı işaret veya nesne bulundurulamaz. Yönlendirme işaretlerinin hem normal aydınlatma ve hem de acil durum aydınlatma hâllerinde kaçış yolu üzerinde bütün erişim noktalarından görülebilir olması gerekir.</t>
  </si>
  <si>
    <t>RG 26735 sayılı 19.12.2007 tarihli Binaların Yangından  Korunması Hakkında Yönetmelik Madde 73 - Yönlendirme işaretleri; yeşil zemin üzerine beyaz olarak, ilgili yönetmelik ve standartlara uygun sembolleri ve   normal zamanlarda kullanılacak çıkışlar için “ÇIKIŞ”, acil durumlarda kullanılacak çıkışlar için ise, “ACİL ÇIKIŞ” yazısını   ihtiva eder. Yönlendirme işaretlerinin her noktadan görülebilecek şekilde ve işaret yüksekliği 15 cm’den az olmamak üzere,   azami görülebilirlik uzaklığı; dışarıdan veya kenarından aydınlatılan yönlendirme işaretleri için işaret boyut yüksekliğinin   100 katına, içeriden ve arkasından aydınlatılan işaretlere sahip acil durum yönlendirme üniteleri için işaret boyut   yüksekliğinin 200 katına eşit olan uzaklık olması gerekir. Bu uzaklıktan daha uzak noktalardan erişim için gerektiği kadar   yönlendirme işareti ilave edilir.  (5) Yönlendirme işaretleri, yerden 200 cm ilâ 240 cm yüksekliğe yerleştirilir.   (6) Kaçış yollarında yönlendirme işaretleri dışında,</t>
  </si>
  <si>
    <t>Çalışma Ortamı / Topraklaması yapılmamış priz kullanımı</t>
  </si>
  <si>
    <t>Taşınabilir iletkenlerin kullanılması gereken yerlerde, yeterli sayıda ve uygun şekilde topraklanmış elektrik prizleri bulunmalıdır.</t>
  </si>
  <si>
    <t>İşçiler / Günlük azami yedi buçuk saat çalışma süresi olan işlerde işçilerin daha uzun sürelerde çalıştırılması</t>
  </si>
  <si>
    <t>Motivasyon eksikliği, dikkatsizlik,kaza ve yaralanmalar</t>
  </si>
  <si>
    <t>Tüm çalışanlar</t>
  </si>
  <si>
    <t>Yönetmelik kapsamındaki işlerde işçiler  günlük yedi buçuk saatten fazla çalıştırılamaz.</t>
  </si>
  <si>
    <t xml:space="preserve">RG 28709 sayılı16.07.2013 tarihli  Sağlık Kuralları Bakımından Günde Azami Yedi Buçuk Saat veya Daha Az Çalıştırılması Gereken İşler  Hakkında Yönetmelik Madde 2 -  Bu Yönetmelik, sağlık kuralları bakımından günde ancak yedi buçuk   saat veya daha az çalışılması gereken işleri kapsar. </t>
  </si>
  <si>
    <t>Çalışma Ortamı / Elektrikli aletlerin kullanım kılavuzlarına aykırı kullanımı</t>
  </si>
  <si>
    <t>Kesilme,delinme,fırlama,elektrik çarpması</t>
  </si>
  <si>
    <t>Elektrikli alet/ekipmanlar, üreticilerce sağlanan Türkçe kullanım kılavuzlarında belirtilen hususlara uygun şekilde kullanılmalıdır.</t>
  </si>
  <si>
    <t>Yangın</t>
  </si>
  <si>
    <t>Çalışma Ortamı /Çalışanların aynı pozisyonda sürekli çalışması</t>
  </si>
  <si>
    <t>Çalışanların uzun süre aynı pozisyonda veya fiziksel anlamda zorlayıcı çalışmaları (ağır yük kaldırma dahil) engellenmelidir.</t>
  </si>
  <si>
    <t>İŞ EKİPMANLARININ KULLANIMINDA SAĞLIK VE GÜVENLİK ŞARTLARI YÖNETMELİĞİ MADDE 9</t>
  </si>
  <si>
    <t>Çalışma Ortamı / Kesik ve birbirine sonradan eklenmiş elektrik kabloları</t>
  </si>
  <si>
    <t>Kesik ve birbirine sonradan eklenmiş elektrik kabloları kullanılmamalıdır.</t>
  </si>
  <si>
    <t>Çalışma Ortamı / Çalışanların çalışma konumlarından malzemelere zor uzanması</t>
  </si>
  <si>
    <t>Depo da dahil tüm alanların iç düzenlemesi yapılmış, aşırı uzanma gereksinimleri ortadan kaldırılmış ve tüm eşya veya malzemelerin kolay ulaşılabilir olması sağlanmalıdır.</t>
  </si>
  <si>
    <t>Çalışma Ortamı / Hasarlı kablo gören personelin kendi müdahale etmesi</t>
  </si>
  <si>
    <t>Çalışanlar hasar görmüş prizleri, yanlış bağlanmış soketleri hasarlı kabloları fark ettiğinde yetkili bir kişiye haber vermeli kendisi müdahale etmemelidir.</t>
  </si>
  <si>
    <t>Çalışma Ortamı /Elektrik panolarının işaretlenmemesi</t>
  </si>
  <si>
    <t>Elektrik riskine karşı önlem almama</t>
  </si>
  <si>
    <t>Tüm elektrik panoları ilgili mevzuata ve standartlara uygun olarak işaretlenmelidir.</t>
  </si>
  <si>
    <t>Çalışma Ortamı / Dolapların duvara sabitlenmemiş olması</t>
  </si>
  <si>
    <t>Dolapların devrilmesi,malzeme batması,ezilme,batma,zedelenme</t>
  </si>
  <si>
    <t>Tüm dolaplar duvarlara uygun şekilde sabitlenmelidir.</t>
  </si>
  <si>
    <t>Çalışma Ortamı / Elektrik panolarının önünde yalıtkan paspas olmaması</t>
  </si>
  <si>
    <t>Çalışanların erişebileceği yerlerde bulunan tevzi tabloları, panoları ile kontrol tertibatı ve benzeri tesisat, kilitli dolap veya hücre içine konulmuş ve bunların tabanı, elektrik akımı geçirmeyen malzeme ile kaplanmış olmalıdır.</t>
  </si>
  <si>
    <t>Acil durumlara hazırlıksız olmak / Acil durum tatbikatlarının yapılmamış olması nedeniyle acil durumlara hazırlıksız olmak.</t>
  </si>
  <si>
    <t xml:space="preserve">Acil durumda panik, kargaşa can ve mal kayıplarının artması               </t>
  </si>
  <si>
    <t xml:space="preserve">Tatbikatın planlanması gerekmektedir.Yılda en az bir defa olmak üzere tatbikat yapılır, denetlenir ve gözden geçirilerek gerekli düzeltici ve önleyici faaliyetler yapılır.                        </t>
  </si>
  <si>
    <t>RG 28681 sayılı 18 Haziran 2013 tarihli "İşyerlerinde Acil Durumlar Hakkında Yönetmelik"MADDE 13 – (1) Hazırlanan acil durum  planının uygulama adımlarının  düzenli olarak takip edilebilmesi ve uygulanabilirliğinden emin olmak için işyerlerinde yılda en az bir defa olmak üzere tatbikat yapılır, denetlenir ve gözden geçirilerek gerekli düzeltici ve önleyici faaliyetler yapılır. Gerçekleştirilen tatbikatın tarihi, görülen eksiklikler ve bu eksiklikler doğrultusunda yapılacak düzenlemeleri içeren tatbikat raporu hazırlanır.</t>
  </si>
  <si>
    <t>Acil durumlara müdahale eksiklik /Acil durumlara müdahale edilmemesi</t>
  </si>
  <si>
    <t>Can ve mal kayıplar,kazazedelerin durumu kötüleşebilir.</t>
  </si>
  <si>
    <t>10’dan az çalışanı olan ve az tehlikeli sınıfta yer alan işyerinde ilgili görevleri ve  yükümlülüğü yerine getirmek üzere bir kişi görevlendirilmesi yeterlidir.</t>
  </si>
  <si>
    <t xml:space="preserve">RG 28681 sayılı 18 Haziran 2013 tarihli "İşyerlerinde Acil Durumlar Hakkında Yönetmelik"-Görevlendirilecek çalışanların belirlenmesi-1) İşveren; işyerlerinde tehlike sınıflarını tespit eden Tebliğde belirlenmiş olan çok tehlikeli sınıfta yer alan işyerlerinde 30 çalışana, tehlikeli sınıfta yer alan işyerlerinde 40 çalışana ve az tehlikeli sınıfta yer alan işyerlerinde 50 çalışana kadar;  a) Arama, kurtarma ve tahliye,  b) Yangınla mücadele,  konularının her biri için uygun donanıma sahip ve özel eğitimli en az birer çalışanı destek elemanı olarak görevlendirir. İşyerinde bunları aşan sayılarda çalışanın bulunması halinde, tehlike sınıfına göre her 30, 40 ve 50’ye kadar çalışan için birer destek elemanı daha görevlendirir.  </t>
  </si>
  <si>
    <t xml:space="preserve">Acil durumlara müdahale eksiklik / Acil çıkış yollarının  işaretlenmemesi                       </t>
  </si>
  <si>
    <t xml:space="preserve">Acil durumlarda etkin tahliye yapılamaması, panik, kargaşa can ve mal kayıplarının artmasına,kazazedelerin durumunun ciddileşmesine yol açar.               </t>
  </si>
  <si>
    <t>Acil çıkış yolları ve kapıları, 23/12/2003 tarihli ve 25325 sayılı Resmî Gazete’de yayımlanan Güvenlik ve Sağlık İşaretleri Yönetmeliğine uygun şekilde işaretlenir. İşaretlerin uygun yerlere konulması ve kalıcı olması sağlanır.</t>
  </si>
  <si>
    <t>RG 17 .07.2013 tarih   - 28710 sayılı "İŞYERİ BİNA VE EKLENTİLERİNDE ALINACAK SAĞLIK VE GÜVENLİK ÖNLEMLERİNE İLİŞKİN YÖNETMELİK"-EK-1-İŞYERİ BİNA VE EKLENTİLERİNDE UYGULANACAK ASGARİ SAĞLIK VE GÜVENLİK ŞARTLARI-Acil çıkış yolları ve kapıları-e) Acil çıkış yolları ve kapıları, 23/12/2003 tarihli ve 25325 sayılı Resmî Gazete’de yayımlanan Güvenlik ve Sağlık İşaretleri Yönetmeliğine uygun şekilde işaretlenir. İşaretlerin uygun yerlere konulması ve kalıcı olması sağlanır.</t>
  </si>
  <si>
    <t>Çalışma Ortamı / Merdivenlerin yüksekte yapılan çalışmalarda kullanıldığında sağlam olmaması ve dengede durmaması</t>
  </si>
  <si>
    <t>Merdivenden düşme,merdivenin düşmesi,merdiven altında kalma</t>
  </si>
  <si>
    <t>Merdivenler yüksekte kullanıldığında sağlam ve dengeli bir şekilde durması sağlanmalıdır.</t>
  </si>
  <si>
    <t>6331. SAYILI İŞ SAĞLIĞI VE GÜVENLİĞİ KANUNU, YAPI İŞLERİNDE İŞ SAĞLIĞI VE GÜVENLİĞİ YÖNETMELİĞİ, İŞ EKİPMANLARININ KULLANIMINDA SAĞLIK VE GÜVENLİK ŞARTLARI YÖNETMELİĞİ</t>
  </si>
  <si>
    <t>Acil durumlara müdahale eksiklik / Acil durum müdahale ekiplerinin belirlenmemiş olması</t>
  </si>
  <si>
    <t>Acil durumlara hızlı ve etkin müdahale edememe,yangının büyümesi,tehlikeli kimyasala maruz kalma</t>
  </si>
  <si>
    <t>RG 17 .07.2013 tarih   - 28710 sayılı "İŞYERİ BİNA VE EKLENTİLERİNDE ALINACAK SAĞLIK VE GÜVENLİK ÖNLEMLERİNE İLİŞKİN YÖNETMELİK"-EK-1-İŞYERİ BİNA VE EKLENTİLERİNDE UYGULANACAK ASGARİ SAĞLIK VE GÜVENLİK ŞARTLARI-</t>
  </si>
  <si>
    <t>Çalışma Ortamı / Tavandan duvarlardan zeminden su sızıntısı</t>
  </si>
  <si>
    <t>Kayma düşme,su basması</t>
  </si>
  <si>
    <t>Tavandan, duvarlardan ya da zeminden su sızıntısı bulunmamalı böyle bir durum derhal giderilmeli yalıtım yapılmalıdır.</t>
  </si>
  <si>
    <t>İşyeri bölümü /Bölümün / birimin devre dışı kalması</t>
  </si>
  <si>
    <t>Yaralanma, boğulma, ezilme, uzuv kaybı, can ve mal kaybı</t>
  </si>
  <si>
    <t>Bölüm çalışanları</t>
  </si>
  <si>
    <t>Acil durum planı hazırlanmalı, planda bölümün veya birimin devre dışı kalması ile ilgili tehlikeli durumlar belirlenerek hareket planı oluşturulmalıdır.</t>
  </si>
  <si>
    <t>Çalışma Ortamı / Sosyal aktivitelerin yapılmaması</t>
  </si>
  <si>
    <t>Stres psikolojik rahatsızlıklar kavga tartışma</t>
  </si>
  <si>
    <t>Çalışanların kendi aralarında kaynaşması işlerini severek ve isteyerek yapmaları iş kazalarının daha aza indirilmesi için çalışanlara tiyatro sinema spor faaliyetleri piknik teknik geziler gibi organizasyonlar düzenlenmeli ve katılımları sağlanmalıdır.</t>
  </si>
  <si>
    <t>Çalışma Ortamı / Uygun olmayan çalışma pozisyonu</t>
  </si>
  <si>
    <t>Boyun, bel ağrısı ve göz meslek hastalıkları</t>
  </si>
  <si>
    <t>Ekran, operatörün/çalışanın çalışma pozisyonuna uygun mesafede ve göz hizasında olmalıdır.</t>
  </si>
  <si>
    <t>EKRANLI ARAÇLARLA ÇALIŞMALARDA SAĞLIK VE GÜVENLİK ÖNLEMLERİ HAKKINDA YÖNETMELİK Ek-I</t>
  </si>
  <si>
    <t>Görme bozukluğu, boyun ağrısı</t>
  </si>
  <si>
    <t>Ekran, operatörün/çalışanın ihtiyacına göre kolaylıkla her yöne döndürülerek ayarlanabilir olmalıdır.</t>
  </si>
  <si>
    <t>Çalışma Ortamı / Çalışanlara görev yetki ve sorumlulukları haricinde görev verilmesi</t>
  </si>
  <si>
    <t>Yetersiz güvensiz hatalı çalışma</t>
  </si>
  <si>
    <t>Çalışanlara, görev ve sorumlulukları haricinde talimat verilmesi engellenmelidir.</t>
  </si>
  <si>
    <t>Çalışma ortamı / Yüksekten düşme</t>
  </si>
  <si>
    <t>çarpma,ezilme,kayma, sendeleme, düşme, uzuv kaybı, ölüm</t>
  </si>
  <si>
    <t>Acil durum planı hazırlanmalı, çalışanlara yüksekte  güvenli çalışma hakkaında eğitim verilmeli, kişisel koruyucu donanımları tedarik edilmeli, düşme sonrası yapılacak faaliyetler konusunda bilgilendirme yapılmalıdır.</t>
  </si>
  <si>
    <t>TOZLA MÜCADELE YÖNETMELİĞİ Madde 14</t>
  </si>
  <si>
    <t>SAĞLIK VEGÜVENLİK İŞARETLERİ YÖNETMELİĞİ</t>
  </si>
  <si>
    <t>6331. SAYILI İŞ SAĞLIĞI VE GÜVENLİĞİ KANUNU, EKRANLI ARAÇLARLA ÇALIŞMALARDA SAĞLIK VE GÜVENLİK ÖNLEMLERİ HAKKINDA YÖNETMELİK, İŞ EKİPMANLARININ KULLANIMINDA SAĞLIK VE GÜVENLİK ŞARTLARI YÖNETMELİĞİ</t>
  </si>
  <si>
    <t>Çalışma Ortamı /Cebri havalandırma sistemi olmaması</t>
  </si>
  <si>
    <t>Gaz,parçacık gibi hava kirliliğine maruz kalma</t>
  </si>
  <si>
    <t>TAŞINABİLİR BASINÇLI EKİPMANLAR YÖNETMELİĞİ</t>
  </si>
  <si>
    <t>Çalışma Ortamı /Çalışanların ilk yardım eğitimi almamış olması</t>
  </si>
  <si>
    <t>İlk yardımın yapılamaması</t>
  </si>
  <si>
    <t>Çalışanlar kesilme, batma, yanma vb. nedenler ile oluşan yaralanmalara hangi durumda ve kim tarafından müdahale edileceği konusunda bilgilendirilmelidir.</t>
  </si>
  <si>
    <t>RG 17 .07.2013 tarih   - 28710 sayılı "İŞYERİ BİNA VE EKLENTİLERİNDE ALINACAK SAĞLIK VE GÜVENLİK ÖNLEMLERİNE İLİŞKİN YÖNETMELİK"-EK-1-İŞYERİ BİNA VE EKLENTİLERİNDE UYGULANACAK ASGARİ SAĞLIK VE GÜVENLİK ŞARTLARI-, RG 28681 sayılı 18 Haziran 2013 tarihli "İşyerlerinde Acil Durumlar Hakkında Yönetmelik"</t>
  </si>
  <si>
    <t>Çalışma Ortamı / Kullanılan sandalyelerin ergonomik olmaması</t>
  </si>
  <si>
    <t>İşyeri bina ve eklentileri, ekonomik değeri olan hammadde, alet, ekipman / Soygun</t>
  </si>
  <si>
    <t>Mal kaybı</t>
  </si>
  <si>
    <t>Acil durumlara müdahale eksiklik /Acil durumda alarmın çalışmaması</t>
  </si>
  <si>
    <t>Kargaşa ve kaos çıkması,acil durumu geç algılama</t>
  </si>
  <si>
    <t>Alarm sistemlerinin periyodik kontrolleri yaptırılmalı bakımları düzenli olarak sağlanmalı ve acil durum tatbikatlarında denenmelidir.Kırık veya bozulmuş olan alarm sistemleri tamiri derhal sağlanmalıdır.</t>
  </si>
  <si>
    <t>Biyolojik etkenlerine maruziyet</t>
  </si>
  <si>
    <t>İşyeri bina ve eklentileri, çevre ve sahası / Göçük veya yıkıntı</t>
  </si>
  <si>
    <t>can ve mal kaybı, ezilme, uzuv kaybı, yaralanma</t>
  </si>
  <si>
    <t>Herkes</t>
  </si>
  <si>
    <t>Acil durum planı hazırlanmalı, göçük ve yıkıntı olması muhtemele yerler güçlendirilmeli, olay sonrası nasıl hareket edileceği ile ilgili personele bilgilendirme yapılmalıdır.</t>
  </si>
  <si>
    <t>Çalışma Ortamı /Atık kapların ağızlarının açık tutulması</t>
  </si>
  <si>
    <t>Atıklara maruz kalma,bulaşıcı hastalıklar</t>
  </si>
  <si>
    <t>Atık kapları kapalı tutulması, yalnızca içine madde atılırken açılması sağlanmalıdır.</t>
  </si>
  <si>
    <t>Tıbbi Atıkların Kontrolü Yönetmeliği, ATIK YÖNETİMİ YÖNETMELİĞİ</t>
  </si>
  <si>
    <t>Çalışma Ortamı /Çalışanların yürüdüğü yerlerde engeller olması</t>
  </si>
  <si>
    <t>Çarpma,takılma,düşme</t>
  </si>
  <si>
    <t>Çalışanların yürüdüğü yerlerde küçük engellerin bulunması engellenmelidir.</t>
  </si>
  <si>
    <t>Çalışma Ortamı / Uyarı ve ikaz sinyallerinin ortamda bulunan gürültü sebebiyle duyulamaması</t>
  </si>
  <si>
    <t>Tahliyenin aksaması, makine teçhizat kaynaklı kazalar</t>
  </si>
  <si>
    <t>Kaza riskini azaltmak için kullanılan ve çalışanlar tarafından algılanması gereken uyarı sinyalleri ve diğer seslerin gürültü ile etkileşiminin, çalışanların sağlık ve güvenliğine olan dolaylı etkisine,</t>
  </si>
  <si>
    <t>ÇALIŞANLARIN TİTREŞİMLE İLGİLİ RİSKLERDEN KORUNMALARINA DAİR YÖNETMELİK Madde 7, SAĞLIK VEGÜVENLİK İŞARETLERİ YÖNETMELİĞİ</t>
  </si>
  <si>
    <t>Acil durumlara müdahale eksiklik / Yangın ve duman algılama sistemi, yağmurlama sistemi olması veya olmaması</t>
  </si>
  <si>
    <t>Yangın,parlama,patlama,sızıntı</t>
  </si>
  <si>
    <t>Yangın ve duman algılama sistemi, yağmurlama sistemi bulunmakta, periyodik kontrolleri yapılmakta ve çalışır durumda olmalıdır.</t>
  </si>
  <si>
    <t>KANSEROJEN VE MUTAJEN MADDELERLE ÇALIŞMALARDA SAĞLIK VE GÜVENLİK ÖNLEMLERİ HAKKINDA YÖNETMELİK  Madde 7</t>
  </si>
  <si>
    <t>Yetkisiz kişilerce yetersiz ilkyardım,yangının büyümesi</t>
  </si>
  <si>
    <t>Tüm çalışanlar acil durum ekipleri hakkında bilgilendirilmiş olmalı ve bu ekiplerin iletişim bilgileri acil durumlarda kolay ve hızlı erişim için tüm çalışanlar tarafından görünür bir yere yerleştirilmelidir.</t>
  </si>
  <si>
    <t>RG 17 .07.2013 tarih   - 28710 sayılı "İŞYERİ BİNA VE EKLENTİLERİNDE ALINACAK SAĞLIK VE GÜVENLİK ÖNLEMLERİNE İLİŞKİN YÖNETMELİK"-EK-1-İŞYERİ BİNA VE EKLENTİLERİNDE UYGULANACAK ASGARİ SAĞLIK VE GÜVENLİK ŞARTLARI-, RG 28681 sayılı 18 Haziran 2013 tarihli "İşyerlerinde Acil Durumlar Hakkında Yönetmelik",  İLKYARDIM YÖNETMELİĞİ</t>
  </si>
  <si>
    <t>Çalışma Ortamı / Ergonomik olmayan yazılım</t>
  </si>
  <si>
    <t>iş stresi</t>
  </si>
  <si>
    <t>Programların kolay kullanılabilir ve eğer uygunsa operatörün bilgi düzeyine ve deneyimine göre ayarlanabilir olması sağlanır. Operatörün bilgisi dışında programlara müdahale edilemez.</t>
  </si>
  <si>
    <t>EKRANLI ARAÇLARLA ÇALIŞMALARDA SAĞLIK VE GÜVENLİK ÖNLEMLERİ HAKKINDA YÖNETMELİK Ek-I, İŞ EKİPMANLARININ KULLANIMINDA SAĞLIK VE GÜVENLİK ŞARTLARI YÖNETMELİĞİ MADDE 9</t>
  </si>
  <si>
    <t>İşyeri bina ve eklentileri /Fırtına</t>
  </si>
  <si>
    <t>yaralanma, mal ve can kaybı</t>
  </si>
  <si>
    <t>Herkes, Çevre</t>
  </si>
  <si>
    <t>Acil durum planı hazırlanmalı, fırtınalı havalarda çalışmalar durdurulmalı, çalışanlar korunaklı yerlerde beklemelidir.</t>
  </si>
  <si>
    <t>Çalışma Ortamı /Havasız ortam</t>
  </si>
  <si>
    <t>Enfeksiyon,solunum yolu hastalıkları</t>
  </si>
  <si>
    <t>Termal konfor ölçümleri yaptırılmalıdır.Havalandırma  ve iklimlendirme sistemlerinde ölçüm sonuçlarına göre düzenlemeler yaptırılmalıdır..Ortam sıcaklığı 21ºC altında tutulmalıdır.Çalışanların ameliyathanenin soğukluğuna karşı kişisel koruyucu donanımları</t>
  </si>
  <si>
    <t>Çalışma Ortamı / İklimlendirme cihazlarının periyodik kontrollerinin yapılmaması</t>
  </si>
  <si>
    <t>Bulaşıcı hastalıklar</t>
  </si>
  <si>
    <t>tüm çalışanlar, ziyaretçiler</t>
  </si>
  <si>
    <t>İklimlendirme cihazlarının yetkili firma tarafından düzenli aralıklarla bakım,onarım ve periyodik kontrolleri yapılmalıdır.</t>
  </si>
  <si>
    <t>6331. SAYILI İŞ SAĞLIĞI VE GÜVENLİĞİ KANUNU, İŞ EKİPMANLARININ KULLANIMINDA SAĞLIK VE GÜVENLİK ŞARTLARI YÖNETMELİĞİ</t>
  </si>
  <si>
    <t>Çalışma Ortamı / İşyeri temizliğinin düzenli olarak yapılmaması</t>
  </si>
  <si>
    <t>İşyerinin temizliği düzenli olarak yapılmalıdır ve çalışma ortamında, hijyen açısından gerekli şartlar sağlanmalıdır. İşyeri hekiminin görüşleri doğrultusunda gerekli temizlik takip formları hazırlanmalı ve hijyen kurallarına uyulduğu izlenmelidir.</t>
  </si>
  <si>
    <t>İşyeri bina ve eklentileri / Ciddi iş kazaları</t>
  </si>
  <si>
    <t>Yaralanma, uzuv kaybı, ölüm</t>
  </si>
  <si>
    <t>Acil durum planı hazırlanmalı, iş kazası yaşanmaması için her türlü önlem alınmalı, çalışanlara eğitim verilmeli, iş kazası sonrası yapılacaklar sonrasında çalışanlar bilgilendirilmelidir.</t>
  </si>
  <si>
    <t>Çalışma Ortamı / İletişim problemi</t>
  </si>
  <si>
    <t>Stres,mobbing,anlaşmazlık,moralsizlik,çalışma hevesi eksikliği</t>
  </si>
  <si>
    <t>Çalışanlar ile işveren(ler) arasında iyi bir iletişim sürdürülmelidir.</t>
  </si>
  <si>
    <t>Acil durumlara müdahale eksiklik /Acil çıkış kapıları ve merdivenlere engeller konulması</t>
  </si>
  <si>
    <t>Acil toplanma bölgesine ulaşamama panik kargaşa izdiham ezilme düşme</t>
  </si>
  <si>
    <t>Acil kapı çıkışları her zaman önü ve arkası boş durmalı.Acil çıkışlardaki koridorlar ve merdivenlerin amacı dışında kullanımı engellenmeli.Gereksiz malzemeler depo alanlarına konulmalıdır.</t>
  </si>
  <si>
    <t>Acil durumlara müdahale eksiklik / İş ekipmanın yakınında yangın söndürücünün bulunmaması</t>
  </si>
  <si>
    <t>Yangına müdahale edememe</t>
  </si>
  <si>
    <t>Kendinden hareketli iş ekipmanı hareket halinde iken çalışanları etkileyebilecek yangın çıkma tehlikesi olan iş ekipmanının kendisinin veya yedekte taşıdığı ekipmanın kullanıldığı yerin hemen yakınında yangın söndürme cihazları bulunmuyorsa, bu ekipmanlarda yeterli yangın söndürme cihazları bulunur.</t>
  </si>
  <si>
    <t>İŞ EKİPMANLARININ KULLANIMINDA SAĞLIK VE GÜVENLİK ŞARTLARI YÖNETMELİĞİ EK-I Madde 3.1</t>
  </si>
  <si>
    <t>Acil durumlara müdahale eksiklik / Beklenmedik bir kaza veya olay halinde organizayonel düzenlemelerin yapılmamış olmaması</t>
  </si>
  <si>
    <t>Çalışanların yüksek düzeyde kimyasallara maruz kalması</t>
  </si>
  <si>
    <t>Çalışanların yüksek düzeyde maruziyetine neden olabilecek beklenmedik bir olay veya kaza halinde:</t>
  </si>
  <si>
    <t>İşletmede bulunanların tahliye edilememesi</t>
  </si>
  <si>
    <t>Bir mahal içerisinde tesis edilen birincil veya ikincil enerji kaynağı olarak jeneratör kullanılan bütün bina ve yapılarda aşağıdaki tedbirlerin alınması şarttır:</t>
  </si>
  <si>
    <t>BİNALARIN YANGINDAN KORUNMASI HAKKINDA YÖNETMELİK Madde 65</t>
  </si>
  <si>
    <t>Çalışma Ortamı /Elektrik kutularının kilitsiz olması</t>
  </si>
  <si>
    <t>Elektril çarpması,yangın</t>
  </si>
  <si>
    <t>Elektrik kutuları kilitlenmiş, yetkisiz kişilerin erişimleri önlenmiş olmalıdır.</t>
  </si>
  <si>
    <t>Çalışma Ortamı / Ekran ve ekipman üzerinde parlama ve yansıma olmaması</t>
  </si>
  <si>
    <t>Görme bozukluğu, rahat olmayan çalışma ortamı</t>
  </si>
  <si>
    <t>Yapay aydınlatma kaynaklarının yeri ve teknik özellikleri ekrandaki ve diğer ekipman üzerindeki parlama ve yansımalar önlenecek şekilde olmalıdır.</t>
  </si>
  <si>
    <t>BİYOLOJİK ETKENLERE MARUZİYET RİSKLERİNİN ÖNLENMESİ HAKKINDA YÖNETMELİK  Madde 8</t>
  </si>
  <si>
    <t>Çalışma Ortamı /İş kazaları ve meslek hastalıkları bildirimlerinin yapılmaması</t>
  </si>
  <si>
    <t>Kanuna muhalefet ve yasal cezalara mahkum kalma</t>
  </si>
  <si>
    <t>İş kazaları ve meslek hastalıkları vakaları Sosyal Güvenlik Kurumuna rapor edilmelidir.</t>
  </si>
  <si>
    <t>İşyeri bina ve eklentileri / Sel ve su baskınları</t>
  </si>
  <si>
    <t>Yaralanma, mal ve can kaybı</t>
  </si>
  <si>
    <t>Acil durum planı hazırlanmalı, suların işletmede tehlike oluşturmaması için çevresel düzenlemeler yapılmalı, çalışanlara suyun ulaşamayacağı şekilde güvenli korunaklar yapılmalıdır.</t>
  </si>
  <si>
    <t>Çalışma Ortamı /Çalışma alanlarının dar olması</t>
  </si>
  <si>
    <t>Malzeme çarpması,düşme takılma,parça fırlaması,delinme</t>
  </si>
  <si>
    <t>Çalışma alanı çalışanların rahat çalışmasını sağlayacak genişlikte olmalıdır.</t>
  </si>
  <si>
    <t>Çalışma Ortamı / Çalışma ortamının uygun şekilde aydınlatılmaması</t>
  </si>
  <si>
    <t>Operatörün/çalışanın gereksinimleri ve yapılan işin türü dikkate alınarak uygun aydınlatma şartları sağlanmalı, arka planla ekran arasında uygun kontrast bulunmalıdır.</t>
  </si>
  <si>
    <t>İşyeri bina ve eklentileri / Terör</t>
  </si>
  <si>
    <t>Mal kaybı, can kaybı, yaralanma</t>
  </si>
  <si>
    <t>Acil durum planı hazırlanmalı, güvenlik güçleri ile iletişime geçilerek güvenli çalışma şartları sağlanmalıdır.</t>
  </si>
  <si>
    <t>Çalışma Ortamı / Çalışanların sağlık ve güvenlik işaretleri konusunda bilgisiz olması</t>
  </si>
  <si>
    <t>Dikkatsiz bilgisiz çalışma kazalar ve meslek hastalıkları</t>
  </si>
  <si>
    <t>Çalışanlar sağlık ve güvenlik işaretlerinin anlamları konusunda eğitilmelidir.</t>
  </si>
  <si>
    <t>Çalışma Ortamı / Karlı ve buzlu zeminler</t>
  </si>
  <si>
    <t>Kayma düşme</t>
  </si>
  <si>
    <t>Zeminde oluşan karlar ve buzlar görevli çalışanlarca kontrollü şekilde temizlenmeli buz çözücü solisyonlar veya tuzlama çalışması yapılmalıdır.</t>
  </si>
  <si>
    <t>YAPI İŞLERİNDE İŞ SAĞLIĞI VE GÜVENLİĞİ YÖNETMELİĞİ</t>
  </si>
  <si>
    <t>işyeri ortamına girebilen veya çalışma sahasında bulunan yabani hayvanlar / Hayvanların fiziksel saldırıları</t>
  </si>
  <si>
    <t>Baş ağrısı, karın ağrısı vb.,  yaralanma, uzuv kaybı, ölüm</t>
  </si>
  <si>
    <t>Acil durum planı hazırlanmalı, yabani hayvanların saldırıları konusunda çalışanlar bilgilendirilmeli, bu hayvanların çalışma ortamına ulaşmaması knusunda gerekli güvenlik tedbirleri alınmaldır.</t>
  </si>
  <si>
    <t>İŞYERİ BİNA VE EKLENTİLERİNDE ALINACAK SAĞLIK VE GÜVENLİK ÖNLEMLERİNE İLİŞKİN YÖNETMELİK</t>
  </si>
  <si>
    <t>Çalışma Ortamı / Çok sıcak veya çok soğuk ortam</t>
  </si>
  <si>
    <t>Mikroorganizma üremesi,enfeksiyon,gribal hastalıklar,üşüme,titreme, uyuşukluk uyku hali terleme</t>
  </si>
  <si>
    <t>Çalışma Ortamı / Cam yüzeylerde kırık çatlaklar olması</t>
  </si>
  <si>
    <t>Kesilme,delinme,batma</t>
  </si>
  <si>
    <t>Cam yüzeyler üzerinde kırık ve çatlak gibi hatalar bulunması halinde bunlar için düzeltici işlemler uygulanmalıdır.</t>
  </si>
  <si>
    <t>İşyeri bina ve eklentileri, çalışma sahası, trafik /Trafik kazası</t>
  </si>
  <si>
    <t>yaralanma, uzuv kaybı, can ve mal kaybı</t>
  </si>
  <si>
    <t>Acil durum planı hazırlanmalı, çalışanlara trafik kuralları konusunda eğitim verilmeli, araçları kullanan şoförlerin araca uygun ehliyetinin ve eğitiminin olması sağlanmalı.</t>
  </si>
  <si>
    <t>Çalışma Ortamı /İlk yardım dolabının olmaması</t>
  </si>
  <si>
    <t>İçinde yeterli malzemenin bulunduğu ilk yardım dolabı mevcut olmalıdır.</t>
  </si>
  <si>
    <t>İşyeri bina ve eklentileri /Yıldırım Düşmesi</t>
  </si>
  <si>
    <t>mal ve can kaybı, yaralanma</t>
  </si>
  <si>
    <t>Acil durum planı hazırlanmalı, paratoner tesis edilmeli</t>
  </si>
  <si>
    <t>Bilgi ve mal kaybı</t>
  </si>
  <si>
    <t>Acil durum planı hazırlanmalı, veriler düzenli aralılarla yedeklenmelidir.</t>
  </si>
  <si>
    <t>Çalışma Ortamı / Tertip ve düzene riyaet etmeme</t>
  </si>
  <si>
    <t>İş kazası ve meslek hastalıklarına yakalanma</t>
  </si>
  <si>
    <t>Tüm çalışanlar talimatlara isg kurallarına uymalı tertip düzeni sağlamalı standart hale getirmeli ve dsiplinli olmalıdır.</t>
  </si>
  <si>
    <t>Çalışma Ortamı / Tavanda oluşan sarkıklar</t>
  </si>
  <si>
    <t>Düşme delinme saplanma</t>
  </si>
  <si>
    <t>Tavanda oluşan sarkıklar çalışanlarca kapı ankrajları kurularak ve çalışanlar vücut kemeleri ile bu noktalara kendileri bağladıktan sonra kırıcı araç gereçlerle kontrollü (aşağıda sınırlı alan oluşturularak) şekilde düşürülmelidir.</t>
  </si>
  <si>
    <t>Çalışma Ortamı /Ayarlanamayan ekran</t>
  </si>
  <si>
    <t>Çalışma Ortamı /Tozun işyeri zemininde birikmesi</t>
  </si>
  <si>
    <t>Kayma,düşme,solunum yolu rahatsızlıkları</t>
  </si>
  <si>
    <t>Tozun yere çökmesi nedeniyle kaygan hale gelen yerler düzenli olarak temizlenmelidir. Sulu temizlik yapıldığı taktirde çamur oluşma riskine veya süpürgeyle yapılan temizlikte tozun solunum bölgesine havalanma riskine karşı tedbirleri alınmış temizlik maki</t>
  </si>
  <si>
    <t>Çalışma Ortamı / Rahat olmayan sandalye</t>
  </si>
  <si>
    <t>Boyun, bel ağrısı, rahat olmayan çalışma ortamı</t>
  </si>
  <si>
    <t>Sandalye dengeli ve operatörün/çalışanın rahat bir pozisyonda oturabileceği ve kolaylıkla hareket edebileceği şekilde olmalıdır.</t>
  </si>
  <si>
    <t>Çalışma Ortamı /Çöplerin ve atıkların düzenli toplanmaması</t>
  </si>
  <si>
    <t>Çöpler ve atıklar düzenli olarak ve uygun şekilde toplanmalıdır.</t>
  </si>
  <si>
    <t>Çalışma Ortamı / Kaygan zemin</t>
  </si>
  <si>
    <t>Kayma, takılma, düşme</t>
  </si>
  <si>
    <t>Zemin temizliği yapılırken uyarı levhaları kullanılmasından taviz verilmemeli.Çalışanların ayakkabıları kaydırmaz taban olmalıdır..Bölüm sorumluları temizlik çalışanlarını denetlemeli.Hijyen zincirinin bozulmaması için kontrol çalışması bölüm sorumluları</t>
  </si>
  <si>
    <t>Çalışma Ortamı /Elektrikli cihazların topraklama bağlantılarının olmaması</t>
  </si>
  <si>
    <t>Elektrik çarpması, yangın</t>
  </si>
  <si>
    <t>Kaçak akım rölesi ana panolarda 300 miliamper tali panolarda 30 miliamper olmak üzere takılmalı ve çalışır vaziyette olmalıdır.Elektrik İç Tesisat Uygunluk Raporu ölçümleri ile topraklama ölçümleri yaptırılmalıdır.Topraklama kontrolleri periyodik olarak (</t>
  </si>
  <si>
    <t>İŞ EKİPMANLARININ KULLANIMINDA SAĞLIK VE GÜVENLİK ŞARTLARI YÖNETMELİĞİ , ELEKTRİK İÇ TESİSLERİ YÖNETMELİĞİ</t>
  </si>
  <si>
    <t>Çalışma Ortamı / Daha önceki kazaların sebeplerinin araştırılmaması</t>
  </si>
  <si>
    <t>Kazaların tekrar etmesi,kazaları önceden öngörememe</t>
  </si>
  <si>
    <t>Daha önce meydana gelmiş kazalar incelenerek kayıt altına alınmalı, tehlike kaynakları tespit edilerek ileride benzer kazalar ile karşılaşmamak için gerekli önlemler alınmalıdır.</t>
  </si>
  <si>
    <t>Çalışma Ortamı /Ergonomik olmayan klavye</t>
  </si>
  <si>
    <t>Klavye tuşlarının özellikleri ve yerleri klavye kullanımını kolaylaştıracak şekilde olmalıdır.</t>
  </si>
  <si>
    <t>İşyeri su tesisatı / Su kesintisi</t>
  </si>
  <si>
    <t>yaralanma, boğulma, ezilme, uzuv kaybı, can ve mal kaybı</t>
  </si>
  <si>
    <t>Acil durum planı hazırlanmalı, su ile beslenen sistemlerin güvenliği sağlanmalıdır.</t>
  </si>
  <si>
    <t>El ve kollarının yorulması, rahat olmayan çalışma ortamı</t>
  </si>
  <si>
    <t>Operatörün/çalışanın elleri ve kolları için klavyenin önünde yeterli boşluk olmalıdır.</t>
  </si>
  <si>
    <t>Çalışma Ortamı /Tahliye planının ilgili yerlerde olmaması</t>
  </si>
  <si>
    <t>Acil durumlarda müdahale edememe</t>
  </si>
  <si>
    <t>Tahliye planı tüm çalışanlarca kolay görülebilir ve ulaşılabilir bir yerde asılı olmalıdır.</t>
  </si>
  <si>
    <t>Acil durumlara müdahale eksiklik / Yangın söndürme cihazlarının periyodik kontrollerinin olmaması</t>
  </si>
  <si>
    <t>Yeterli sayıda ve uygun tipte yangın söndürücü mevcut ve son kullanma tarihleri ve basınçları kontrol edilmelidir.</t>
  </si>
  <si>
    <t>Acil durumlara müdahale eksiklik /İşyeri içerisinde sigara içilmesi</t>
  </si>
  <si>
    <t>Yangın,kötü koku,akciğer hastalıkları</t>
  </si>
  <si>
    <t>İşyeri içerisinde sigara içilmemesi sağlanmalıdır. Yasal cezai işlem hakkında çalışanlar bilgilendirilmeli kurala uymayan çalışanlara bu ceza uygulanmalıdır.Çalışan personellerden sigara içenler için işyeri bahçesi içerisinde yanıcı,parlayıcı ortamlardan</t>
  </si>
  <si>
    <t>İşyeri çevre ve sahası / Hortum</t>
  </si>
  <si>
    <t>can ve mal kaybı, yaralanma</t>
  </si>
  <si>
    <t>Çevre, Herkes</t>
  </si>
  <si>
    <t>Acil durum planı hazırlanmalı, hortum başladığında çalışmalar durdurulmalı, çalışanlar korunaklı yerlerde beklemelidir.</t>
  </si>
  <si>
    <t>Kayma,düşme,takılma</t>
  </si>
  <si>
    <t>Acil durumlara müdahale eksiklik / Tahliye planı(kroki) olmaması</t>
  </si>
  <si>
    <t>Acil durumlarda içeride mahsur kalma,gaz,toz ve buhara maruz kalma,yangın</t>
  </si>
  <si>
    <t>Yangın söndürme ekipmanlarının ve ilkyardım malzemelerinin bulunduğu yerler ile kaçış yollarını gösteren tahliye planları hazır hale getirilmeli ve ilgili yerlere asılmalıdır.</t>
  </si>
  <si>
    <t>Çalışma ortamı / Uygun bir ayak desteği olmaması</t>
  </si>
  <si>
    <t>bel ağrısı, rahat olmayan çalışma ortamı</t>
  </si>
  <si>
    <t>İstendiğinde operatöre/çalışana uygun bir ayak desteği sağlanmalıdır.</t>
  </si>
  <si>
    <t>Çalışma ortamı / Çay,kahve,yemek alanının olmaması</t>
  </si>
  <si>
    <t>Bakteri,virüs,mikroplar</t>
  </si>
  <si>
    <t>Çay,kahve,yemek ofisin mutfak bölümü haricinde hazırlanmamlıdır. Su sebili,hazır kahve makinesi gibi araçların tuvaletten uzakta tutulması gerekmektedir. Bu makinelerin temizliği ve bakımları düzenli olarak yaptırılmalıdır.</t>
  </si>
  <si>
    <t>Çalışma ortamı / Işığı ayarlayan perde olmaması</t>
  </si>
  <si>
    <t>Ekrana gelen gün ışığının kontrol edilebilmesi için yatay ve dikey ayarlanabilir perdeler kullanılmalıdır.</t>
  </si>
  <si>
    <t>Çalışma ortamı / Isı üreten ekipman</t>
  </si>
  <si>
    <t>Fazla ortam ısısı, rahat olmayan çalışma ortamı</t>
  </si>
  <si>
    <t>Çalışma merkezindeki ekipman çalışanları rahatsız edecek düzeyde ortama ısı vermemelidir.</t>
  </si>
  <si>
    <t>Acil durumlara müdahale eksiklik / Acil çıkış kapılarının mevzuat şartlarını sağlamaması</t>
  </si>
  <si>
    <t>Acil toplanma bölgesine ulaşamama panik kargaşa</t>
  </si>
  <si>
    <t>Acil durum planları eğitimi verilmeli.Acil çıkış sistemi mevzuata uygun hale getirilmeli.Çıkışlar kolayca bulunacak şekilde işaretlenmeli ve devamlı enerji kaynağına bağlanmalı.</t>
  </si>
  <si>
    <t>Görme bozukluğu</t>
  </si>
  <si>
    <t>Acil durumlara müdahale eksiklik /Kağıt,karton v.b maddelerin kolay alevlenebilir ortamda depolanması</t>
  </si>
  <si>
    <t>Kağıt,karton kutu vb. malzemelerin ve atık kağıt kutularının yanıcı ortamlardan uzakta tutulması bu kutu ve kovaların içerisine tutuşabilecek malzeme atılmamalıdır.</t>
  </si>
  <si>
    <t>İşyeri bina ve eklentileri /Grev</t>
  </si>
  <si>
    <t>Acil durum planı hazırlanmalı, işletmenin güvenli durdurma ve tekrar işe başlama şartları belirlenmelidir.</t>
  </si>
  <si>
    <t>BİYOLOJİK ETKENLERE MARUZİYET RİSKLERİNİN ÖNLENMESİ HAKKINDA YÖNETMELİK  Madde 17</t>
  </si>
  <si>
    <t>Acil durumlara müdahale eksiklik /Yangın</t>
  </si>
  <si>
    <t>Yanma, boğulma,zehirlenme</t>
  </si>
  <si>
    <t>Acil durum planları eğitimi verilmeli.Acil çıkış sistemi mevzuata uygun hale getirilmeli.Çalışanlara yangın eğitimi verilmeli.Yangın söndürme sistemleri ve cihazların periyodik kontrolleri düzenli olarak yaptırılmalıdır..Acil durum tatbikatları en az yıld</t>
  </si>
  <si>
    <t>Çalışma ortamı / Çalışma ortamınının uygun düzeyde nemli olmaması ve korunamaması</t>
  </si>
  <si>
    <t>Uygun olmayan termal konfor şartları, rahat olmayan çalışma ortamı</t>
  </si>
  <si>
    <t>Çalışma ortamında nem, uygun düzeyde tutulmalı ve bu düzey korunmalıdır.</t>
  </si>
  <si>
    <t>Çalışma Ortamı /Çalışanlara mobbing uygulanması</t>
  </si>
  <si>
    <t>Stres,psikolojik rahatsızlıklar</t>
  </si>
  <si>
    <t>Çalışanlara dışarıdan veya ofis içerisindeki diğer çalışanlardan gelebilecek sözlü veya fiili tacize karşı yasal hakları ve kendilerini ne şekilde koruyacakları böyle bir durumla karşılaştıklarında ilgili yönetim temsilcisine ulaşmaları gerektiği hakkında bilgilendirme yapılmalıdır.</t>
  </si>
  <si>
    <t>Çalışma ortamı / Zeminde  gereksiz malzemelerin bulunması</t>
  </si>
  <si>
    <t>Takılma,düşme,çarpma</t>
  </si>
  <si>
    <t>Zeminde takılıp düşmeye neden olabilecek gereksiz malzemelerin bulunması engellenmelidir.</t>
  </si>
  <si>
    <t>Çalışma Ortamı / Çalışanların görev,yetki,sorumluluklarının tebliğ edilmemesi</t>
  </si>
  <si>
    <t>Yetki ve sorumlulukların bilinmemesi</t>
  </si>
  <si>
    <t>Çalışanlar görev yetki ve sorumluklarını net olarak bilmelidir.</t>
  </si>
  <si>
    <t>Acil durumlara müdahale eksiklik /Acil durum uyarı sisteminin çalışmaması</t>
  </si>
  <si>
    <t>Acil durum olduğuna dair bilgi eksikliği</t>
  </si>
  <si>
    <t>Acil durum uyarı sisteminin (sesli ve ışıklı uyarı) çalışır durumda olması sağlanmalıdır.</t>
  </si>
  <si>
    <t>RG 28681 sayılı 18 Haziran 2013 tarihli "İşyerlerinde Acil Durumlar Hakkında Yönetmelik", SAĞLIK VEGÜVENLİK İŞARETLERİ YÖNETMELİĞİ</t>
  </si>
  <si>
    <t>Çalışma Ortamı /Hijyen şartlarına uyulmaması</t>
  </si>
  <si>
    <t>Biyolojik etkenlere maruziyet</t>
  </si>
  <si>
    <t>Hijyen önlemleri, biyolojik etkenlerin çalışma yerlerinden kontrol dışı dışarıya taşınması veya sızmasının önlenmesi veya azaltılmasını sağlayacak şekilde uygulanır.</t>
  </si>
  <si>
    <t>İşyeri bina ve eklentileri / Sabotaj</t>
  </si>
  <si>
    <t>Altında kalma,bıçak kesmesi,ezilme,fırlatma,Bilinç kaybı,Şok,Yangın</t>
  </si>
  <si>
    <t>Acil durum planı hazırlanmalı, yetkisiz personellerin işyerine girmesi engellenmelidir.</t>
  </si>
  <si>
    <t>Çalışma Ortamı /Cam yüzeylerin uygunsuz monte edilmesi</t>
  </si>
  <si>
    <t>Cam altında kalma,kesilme,ezilme,saplanma,batma</t>
  </si>
  <si>
    <t>Cam yüzeyler (kapı, pencere vb.) uygun şekilde monte edilmiş olmalıdır.</t>
  </si>
  <si>
    <t>Çalışma Ortamı / Sivri ve sert köşeler</t>
  </si>
  <si>
    <t>Çalışma ortamında çalışanların çarparak yaralanabileceği sivri veya sert köşeler bulunmaması sağlanmalıdır.</t>
  </si>
  <si>
    <t>Çalışma Ortamı /Uygun dekontaminasyon ve dezenfeksiyon yöntemlerinin belirlenmemesi</t>
  </si>
  <si>
    <t>Uygun dekontaminasyon ve dezenfeksiyon yöntemlerinin belirlenmesi,</t>
  </si>
  <si>
    <t>İşyeri enerji sistemi / Enerji kesintisi</t>
  </si>
  <si>
    <t>Acil durum planı hazırlanmalı, enerji kesintisinde ekipmanların ve/veya prosesin güvenli durdurulması ile sistemin tekrar deveye alınması konusunda personel eğitilmeli ve bilgilendirilmelidir.</t>
  </si>
  <si>
    <t>Çalışma Ortamı /Açıkta dağınık kablo olması</t>
  </si>
  <si>
    <t>elektrik çarpması,yangın,düşme</t>
  </si>
  <si>
    <t>Açıkta kablo bulundurulmalıdır.Prizlerin kapakları olmalıdır.</t>
  </si>
  <si>
    <t>Çalışma Ortamı /Elektrik panolarında kaçak akım rölesi olmaması</t>
  </si>
  <si>
    <t>Elektrik çarpması yangın</t>
  </si>
  <si>
    <t>Elektrik panolarında ana panolarda 300 miliamperlik tali panolarda ise 30 miliamperlik kaçak akım rölesi takılı ve çalışır vaziyette olmalıdır.</t>
  </si>
  <si>
    <t>ELEKTRİK İÇ TESİSLERİ YÖNETMELİĞİ</t>
  </si>
  <si>
    <t>İŞYERİ HEKİMİ VE DİĞER SAĞLIK PERSONELİNİN GÖREV, YETKİ, SORUMLULUK VE EĞİTİMLERİ HAKKINDA YÖNETMELİK</t>
  </si>
  <si>
    <t>Çalışma Ortamı / Çalışanların işe giriş muayenelerinin yapılmaması</t>
  </si>
  <si>
    <t>Çalışanların sağlık durumları hakkına bilgi sahibi olmama,yanlış bölümlerde çalıştırma meslek hastalıkları</t>
  </si>
  <si>
    <t>Çalışanların işe giriş raporları ve periyodik kontrolleri yaptırılmalıdır.</t>
  </si>
  <si>
    <t>Çalışma Ortamı /Zeminde çökme,deformasyon olması</t>
  </si>
  <si>
    <t>Zeminde çökme, erime vb. deformasyonlar bulunması halinde bunlara yönelik düzeltici çalışmalar yapılmalıdır.</t>
  </si>
  <si>
    <t>Çalışma Ortamı / Aşırı uzun çalışma, yetersiz ara verilmesi, aşırı kaldırma - indirme hareketi yoğunluğu, yüksek ve sabit çalışma temposu, çalışanın belden bükülmesini gerektiren aşırı tekrarlı hareketler</t>
  </si>
  <si>
    <t>Sırt ve bel incinmesi</t>
  </si>
  <si>
    <t>Aşağıda belirtilen çalışma şekillerinden bir veya birden fazlasını gerektiren işler bilhassa sırt ve bel incinmesi riskine neden olabilir.</t>
  </si>
  <si>
    <t>ELLE TAŞIMA İŞLERİ YÖNETMELİĞİ Ek-I Madde 4</t>
  </si>
  <si>
    <t>Çalışma Ortamı /Ekranlı araçlar ve oturma düzeninin ergonomi şartlarına uygun olmaması</t>
  </si>
  <si>
    <t>Çalışma masası veya çalışma yüzeyi, ekran, klavye, dokümanlar ve diğer ilgili malzemelerin rahat bir şekilde düzenlenebilmesine olanak sağlayacak şekilde ve yeterli büyüklükte ve yüzeyi ışığı yansıtmayacak nitelikte olmalıdır.Çalışanı rahatsız edici göz ve baş hareketleri ihtiyacını en aza indirecek şekilde yerleştirilmiş ve ayarlanabilir özellikte doküman tutucu kullanılmalıdır. Çalışanın rahat bir pozisyonda olması için yeterli alan bulunmalıdır. Monitör üst kısmı altında daha geride kalacak biçimde arkaya doğru eğik durmalıdır. Klavye, çalışanın el ve kollarının yorulmaması ve rahatça çalışabilmesi için ekrandan ayrı ve hareketli olmalıdır. Klavyenin ön tarafına, çalışanın bileklerini dayayabileceği özel destek koyulmalıdır. Çalışanın elleri ve kolları için klavyenin önünde yeterli boşluk olmalıdır. Klavyenin rengi mat olmalı ve ışığı yansıtmamalıdır. Çalışma pozisyonuna göre, tuşlar üzerindeki semboller kolaylıkla seçilebilmeli, düzgün ve okunaklı olmalıdır.</t>
  </si>
  <si>
    <t>İŞ EKİPMANLARININ KULLANIMINDA SAĞLIK VE GÜVENLİK ŞARTLARI YÖNETMELİĞİ MADDE 9, EKRANLI ARAÇLARLA ÇALIŞMALARDA SAĞLIK VE GÜVENLİK ÖNLEMLERİ HAKKINDA YÖNETMELİK, İŞ EKİPMANLARININ KULLANIMINDA SAĞLIK VE GÜVENLİK ŞARTLARI YÖNETMELİĞİ</t>
  </si>
  <si>
    <t>Çalışma Ortamı / Yıldırım düşmesi ve kaçak elektrik durumunda topraklama tesisatının olmaması</t>
  </si>
  <si>
    <t>Elektrik çarpılma</t>
  </si>
  <si>
    <t>Binaların yıldırım tehlikesine karşı korunması için ilgili yönetmelik ve standartların gereğinin yerine getirilmesi şarttır. Elektrik yükünün yapı veya yapı içindeki diğer tesisat üzerinde risk yaratmaksızın toprağa iletilebileceği yeterli bağlantının sağlanması ve bir toprak sonlandırma ağı oluşturulması gerekir.</t>
  </si>
  <si>
    <t>BİNALARIN YANGINDAN KORUNMASI HAKKINDA YÖNETMELİK Madde 64</t>
  </si>
  <si>
    <t>Komşu tesisler / Komşu tesislerde meydana gelen yangın, patlama, gaz sızıntısı, radyoaktif sızıntı, sabotaj, doğal afetler gibi tehlikeli durumlar</t>
  </si>
  <si>
    <t>yaralanma, zehirlenme, uzuv kaybı, can ve mal kaybı</t>
  </si>
  <si>
    <t>Acil durum planı hazırlanmalı, meydana gelen olay ile ilgili acil durum yöneticisi bilgilendirilerek, ilgili kurum ve kuruluşlar haberdar edilmelidir.</t>
  </si>
  <si>
    <t>Çalışma Ortamı /Deprem</t>
  </si>
  <si>
    <t>Raf ve dolapların devrilmesi,malzeme altında kalma, beton yığınları altında skışma,göçük altında kalma</t>
  </si>
  <si>
    <t>Binanın depreme dayanıklığı yetkili kurumlara ölçüm yaptırılmalı.Uygunsuzluklar için plan yapılıp yerine getirilmelidir.Bina güçlendirmesi gibi uygulamalar yapılmalıdır.Acil durum planları eğitimi verilmeli.Acil çıkış sistemi mevzuata uygun hale getirilme</t>
  </si>
  <si>
    <t>Çalışma Ortamı / Çalışanların kendilerine ait sağlık kayıtları hakkında bilgilendirilmemesi</t>
  </si>
  <si>
    <t>Çalışanın kendisine at sağlık durumunu bilmemesi</t>
  </si>
  <si>
    <t>Çalışanlar kendilerine ait kayıtların bir örneğini alabilirler. Çalışanlar ve/veya çalışan temsilcileri de kayıtlar hakkında isimsiz olarak genel bilgileri alabilirler.</t>
  </si>
  <si>
    <t>Çalışma Ortamı /İşyeri hekimi tarafından çalışanların kontrol edilmemesi</t>
  </si>
  <si>
    <t>Çalışanların sağlık sorunları yaşaması</t>
  </si>
  <si>
    <t>Çalışma Ortamı / Klavyenin önünde bilek dayanağının olmaması</t>
  </si>
  <si>
    <t>Klavyenin ön tarafına, operatörün/çalışanın bileklerini dayayabileceği özel destek konulmalıdır.</t>
  </si>
  <si>
    <t>Çalışma Ortamı /Uygun olmayan ekran çözünürlüğü</t>
  </si>
  <si>
    <t>Ekranda görünen karakterler, kolayca seçilir şekil ve formda, uygun büyüklükte olmalı, satır ve karakterler arasında yeterli boşluk bulunmalıdır.</t>
  </si>
  <si>
    <t>Çalışma Ortamı /Uyarı ve ikaz işaretlerinin kulanılmaması</t>
  </si>
  <si>
    <t>Personeli gerektiği gibi bilgilendirememe</t>
  </si>
  <si>
    <t>biyolojik risk işareti ile birlikte ilgili diğer uyarı işaretleri de kullanılır.</t>
  </si>
  <si>
    <t>BİYOLOJİK ETKENLERE MARUZİYET RİSKLERİNİN ÖNLENMESİ HAKKINDA YÖNETMELİK  Madde 8, SAĞLIK VEGÜVENLİK İŞARETLERİ YÖNETMELİĞİ</t>
  </si>
  <si>
    <t>Çalışma Ortamı / Çalışanların mevzuat dışı fazla çalışması</t>
  </si>
  <si>
    <t>Çalışanların mesai saatleri mevzuata uygun olarak düzenlenmelidir.</t>
  </si>
  <si>
    <t>İşyeri bina ve eklentileri / Şüpheli paketler</t>
  </si>
  <si>
    <t>patlama, yangın, zehirlenme, mal kaybı, yaralanma</t>
  </si>
  <si>
    <t>Acil durum planı hazırlanmalı, durum ilgililere bildirilmelidir.</t>
  </si>
  <si>
    <t>Çalışma Ortamı /Eğitim kayıtlarının tutulmaması</t>
  </si>
  <si>
    <t>Denetim cezaları</t>
  </si>
  <si>
    <t>Eğitim ve bilgilendirme ile ilgili belgeler kayıt altına alınıyor ve kayıtlar uygun şekilde muhafaza edilmelidir.</t>
  </si>
  <si>
    <t>Çalışma Ortamı /Çalışanlarla işveren arasında iletişim olmaması</t>
  </si>
  <si>
    <t>Elektrik tesisatı, elektrikli ekipmanlar /Elektrik çarpması</t>
  </si>
  <si>
    <t>Düşme, fırlatma, çarpma, elektrik çarpması, şok, yangın, yanık</t>
  </si>
  <si>
    <t>Acil durum planı hazırlanmalı, çalışanlara elektrik çarpması tehlikeleli konusunda eğitim verlmeli, kaza sonrası yapacakları konusunda bilgilendirilmelidir.</t>
  </si>
  <si>
    <t>Çalışma Ortamı /Elektrik panolarının kilitli olmaması</t>
  </si>
  <si>
    <t>Elektrik panoları kilitleme etiketleme sistemine uygun olarak panoların anahtarları görevli yetkili çalışanda olacak şekilde kilitli tutulmalıdır.</t>
  </si>
  <si>
    <t>Çalışma Ortamı / Çalışanların görev tanımlarının olmaması</t>
  </si>
  <si>
    <t>Bir çalışanın birden fazla görevi dışında iş yapması kazalar</t>
  </si>
  <si>
    <t>Çalışanlar; yetki, sorumluluk ve çalışma hedeflerini net olarak bilmelidir.</t>
  </si>
  <si>
    <t>5544 SAYILI MESLEKİ YETERLİLİK KANUNU, 6331 SAYILI İŞ SAĞLIĞI VE GÜVENLİĞİ KANUNU</t>
  </si>
  <si>
    <t>Emziren kadın çalışanlara mevzuata uygun sürelerde izin verilmektedir.</t>
  </si>
  <si>
    <t>Bulaşıcı hastalığa yakalanan personele izin verilerek dinlenmesi sağlanmaktadır.</t>
  </si>
  <si>
    <t>Gereksiz, kullanılmayan ve son kullanma tarihi geçmiş kimyasallar mutfaklardan ve depolama alanlarından kaldırılmalıdır.</t>
  </si>
  <si>
    <t>Gebe çalışanlara periyodik muayeneleri için ücretli izin verilmektedir.</t>
  </si>
  <si>
    <t>Elektrikli donanımlar amacı dışında kullanılmamaktadır.</t>
  </si>
  <si>
    <t>Ana elektrik panolarında sigorta bulunmaktadır.</t>
  </si>
  <si>
    <t>Gebe çalışanlar gece mesaisinde çalıştırılmamaktadır. Fazla mesai yapmamaktadır.</t>
  </si>
  <si>
    <t>Elektrikli ekipmanların bakım ve onarımında uygun kişisel koruyucular kullanılması sağlanmaktadır.</t>
  </si>
  <si>
    <t>İşyerinde gece postası bulunmamaktadır.</t>
  </si>
  <si>
    <t>Elektrikli aletler su ile temas ettirilmemektedir.</t>
  </si>
  <si>
    <t>Çalışanlara yaptıkları işe uygun masa ve sandalye verilmektedir.</t>
  </si>
  <si>
    <t>Kırık camlar kesilme ve batmaya karşı önlem alınarak atık toplama alanına depolanmaktadır.</t>
  </si>
  <si>
    <t>Elektrik hatlarında hasar tespit edildiğinde onarım sağlanmaktadır.</t>
  </si>
  <si>
    <t>Elektrik sisteminde uygun topraklama bulunmaktadır.</t>
  </si>
  <si>
    <t>Islak el, giysi ve eldiven ile elektrikli cihazlar kullanılmamaktadır.</t>
  </si>
  <si>
    <t>Ağır malzemeler alt raflara, hafif malzemeler üst raflara yerleştirilmektedir.</t>
  </si>
  <si>
    <t>Yüksek yerlere sarsıntı halinde düşme ihtimali bulunan malzemeler istiflenmemektedir.</t>
  </si>
  <si>
    <t>Gerekli dinlenme süreleri ve görev değişiklikleri sağlanmaktadır.</t>
  </si>
  <si>
    <t>Çalışanlar periyodik iş sağlığı ve güvenliği eğitimleri ile güvenlik ve sağlık işaretleri konusunda bilgilendirilmektedir.</t>
  </si>
  <si>
    <t>Çalışanlar iş sağlığı ve güvenliği konusunda eğitim almışlardır.</t>
  </si>
  <si>
    <t>Topraklanmış elektrik prizleri bulunmaktadır.</t>
  </si>
  <si>
    <t>İşçiler günlük 7,5 saatten fazla çalıştırılmamaktadır.</t>
  </si>
  <si>
    <t>Elektrikli aletler kullanım klavuzuna uygun kullanılmaktadır.</t>
  </si>
  <si>
    <t>Çalışanlar uzun süre aynı pozisyonlarda çalışmamaktadır.</t>
  </si>
  <si>
    <t xml:space="preserve">Kesik veya sonradan eklenmiş elektrik kabloları kullanılmamaktadır. </t>
  </si>
  <si>
    <t>Tüm alanlarda aşırı uzanma ihtiyacının önüne geçilmiştir.</t>
  </si>
  <si>
    <t>Çalışanlar hasarlı kablo kullanmamaktadır.</t>
  </si>
  <si>
    <t>Elektrik panoları mevzuata uygun işaretlenmemiştir. İşaretlemelerin kontrol edilmesi ve uygun şekilde yapılması gerekmektedir.</t>
  </si>
  <si>
    <t>Elektrik panolarının kapaklarının ve kapılarının her zaman kilitli tutulması gerekmektedir. Kapıların ve kapakların zaman zaman açık bırakıldığı görülmüştür.</t>
  </si>
  <si>
    <t>Acil durum ekipleri mevzuata uygun sayılarda atanmaktadır.</t>
  </si>
  <si>
    <t>İşyerinin tehlike sınıfı göz önünde bulundurularak, uygun sayıda yangınla mücadele, ilkyardım ile arama kurtarma ve tahliye konularında ekipler oluşturulmalıdır.</t>
  </si>
  <si>
    <t>Uygun sayılarda ekipler oluşturulmuştur.</t>
  </si>
  <si>
    <t>Su sızıntısı olması durumunda tadilat ve tamirat yapılmaktadır.</t>
  </si>
  <si>
    <t>Acil durum planı hazırlanmıştır.</t>
  </si>
  <si>
    <t>Ekranlar çalışanlar ile uygun uzaklıkta bulunmaktadır.</t>
  </si>
  <si>
    <t>Ekranlar çalışanların ihtiyacına göre dönebilmektedr.</t>
  </si>
  <si>
    <t>Çalışanlara görevleri dışında iş verilmemektedir.</t>
  </si>
  <si>
    <t>Kullanılan sandalyeler ergonomik olmalıdır.</t>
  </si>
  <si>
    <t>Kullanılan sandalyeler ergonomiktir.</t>
  </si>
  <si>
    <t>Hava ortamına yayılmış gaz, parçacık gibi hava kirliliğini dışarı atarak çalışma ortamı havasını daima temiz tutacak düzeyde doğal havalandırma veya daima çalışır durumda cebri havalandırma sistemi yapılmalıdır.</t>
  </si>
  <si>
    <t>Cebri havalandırma bulunmaktadır.</t>
  </si>
  <si>
    <t>Acil durum planı hazırlanmalı, alarm sistemi geliştirilmeli, bekçi tutulmalı</t>
  </si>
  <si>
    <t>Atık kaplarının kapakları kapalı tutulmaktadır.</t>
  </si>
  <si>
    <t>Çalışanların yürüdüğü yerlerde engeller bulunmamaktadır.</t>
  </si>
  <si>
    <t>Programlar kolay kullanabilir haldedir.</t>
  </si>
  <si>
    <t>Fırtınalı havalarda çalışanlar güvenli çalışma ortamlarında bulunmaktadır.</t>
  </si>
  <si>
    <t>Termal konfor şartları sağlanmaktadır.</t>
  </si>
  <si>
    <t>İşyerinin temizliği düzenli olarak yapılmakta, ortam hijyeni sağlanmaktadır.</t>
  </si>
  <si>
    <t>Çalışanlar iş kazası sonrası yapılacaklar ile ilgili bilgilendirilmiştir.</t>
  </si>
  <si>
    <t>Çalışanlar ve işveren arasında olumlu iletişim sağlanmaktadır.</t>
  </si>
  <si>
    <t>Yeterli yangın söndürme cihazı bulundurulmaktadır.</t>
  </si>
  <si>
    <t xml:space="preserve">Acil durum ekipleri eğitimi yapılmaktadr. </t>
  </si>
  <si>
    <t>Acil durum çıkışları çalışır durumdadır, kapılar kesinlikle kilitlenmemektedir.</t>
  </si>
  <si>
    <t>İş kazaları ve meslek hastalıkları SGK'ya bildirim yapılmaktadır.</t>
  </si>
  <si>
    <t>Acil durum ekiplerine eğitim verilmiştir.</t>
  </si>
  <si>
    <t>Çalışma alanları personelin rahat hareket etmesine uygundur.</t>
  </si>
  <si>
    <t>Çalışma ortam aydınlatmaları kontrol edilmekte, teknik personel tarafından düzenli bakımları yapılmaktadır.</t>
  </si>
  <si>
    <t>Çalışanlar sağlık ve güvenlik işaretleri konusunda bilgilendirilmektedir.</t>
  </si>
  <si>
    <t>Karlı ve buzlu zeminler yetkili personel tarafından temizlenmektedir.</t>
  </si>
  <si>
    <t>İşyeri alanına evcil olmayan hayvanların girişi engellenmektedir.</t>
  </si>
  <si>
    <t>Ortam sıcaklığı kontrol edilmektedir.</t>
  </si>
  <si>
    <t>Veriler yedeklenmektedir.</t>
  </si>
  <si>
    <t>Rahatsız sandalyeler değiştirilmektedir.</t>
  </si>
  <si>
    <t>Çöpler ve atıklar düzenli olarak atılmaktadır.</t>
  </si>
  <si>
    <t>Temizlik sonrası oluşan kaygan zeminler uyarı levhası ile çalışanlara ilan edilmektedir.</t>
  </si>
  <si>
    <t>Elektrikli aletlerin topraklama bağlantıları bulunmaktadır.</t>
  </si>
  <si>
    <t>Yaşanan kazalar için düzeltici önleyici faaliyet raporları tutulmaktadır.</t>
  </si>
  <si>
    <t>Kullanılan klavyeler ergonomiktir.</t>
  </si>
  <si>
    <t>Su tankı bulunmaktadır.</t>
  </si>
  <si>
    <t>Çalışma Ortamı / Klavyenin önünde yeterli boşluk olmaması</t>
  </si>
  <si>
    <t>Klavye önlerinde yeterli boşluk bulunmaktadır.</t>
  </si>
  <si>
    <t>Yangın söndürme cihazlarının periyodik kontrolleri yapılmaktadır.</t>
  </si>
  <si>
    <t>İşyeri içinde sigara içilmemektedir.</t>
  </si>
  <si>
    <t>Çalışma alanları yeterlidir.</t>
  </si>
  <si>
    <t>Kolay alevlenir ortamlarda yanıcı madde depolanmamaktadır</t>
  </si>
  <si>
    <t>Grev halinde görüşmeler sakinlikle sağlanmalıdır, grev yaşanmamıştır.</t>
  </si>
  <si>
    <t xml:space="preserve"> Çalışma ortam nemi kontrol edilmekte uygun düzeyde tutulmaktadır.</t>
  </si>
  <si>
    <t>Yangın halinde söndürme sistemleri bulunmaktadır.</t>
  </si>
  <si>
    <t>Acil durum ekipleri eğitim almıştır.</t>
  </si>
  <si>
    <t>Masa altında kullanım için personelin isteği dahilinde ayak desteği temin edilmektedir.</t>
  </si>
  <si>
    <t xml:space="preserve">Çalışanlara mobing yapılmamaktadır. Çalışanlar konu hakkında bilgilendirilmektedir. </t>
  </si>
  <si>
    <t>Acil durum ekipleri konu hakkında eğitim almıştır.</t>
  </si>
  <si>
    <t>Zeminde takılma düşmeye sebep olacak gereksiz malzemeler bulunmamaktadır</t>
  </si>
  <si>
    <t>Hijyen şartları sağlanmaktadır</t>
  </si>
  <si>
    <t>Cam yüzeyler uygun şekilde monte edilmektedir</t>
  </si>
  <si>
    <t>Çalışanların işe giriş muayeneleri yapılmaktadır</t>
  </si>
  <si>
    <t>Zeminde çökme bulunmamaktadır</t>
  </si>
  <si>
    <t>Ergonomik şartlar sağlanmaktadır.</t>
  </si>
  <si>
    <t>Topraklama tesisatı bulunmaktadır.</t>
  </si>
  <si>
    <t>Çalışanların sağlık kayıtları özlük dosyalarında  tutulmaktadır.</t>
  </si>
  <si>
    <t>İşyeri hekimi tarafından personele sağlık hizmeti verilmektedir.</t>
  </si>
  <si>
    <t>İşyerinde bulunan biyolojik, kimyasal veya fiziksel etkenlerden etkilendiği düşünülen çalışanlar, işyeri hekimi tarafından derhal kontrol edilmelidir.</t>
  </si>
  <si>
    <t>İstenmesi halinde personele silikon bilek yastığı verilmektedir.</t>
  </si>
  <si>
    <t>Ekran çözünürlüğü ayarlanabilir özelliktedir.</t>
  </si>
  <si>
    <t>İlgili uyarı ve ikaz işaretleri kullanılmaktadır.</t>
  </si>
  <si>
    <t>Personel mevzuat dışı fazla çalışma yapmamaktadır.</t>
  </si>
  <si>
    <t>Eğitim kayıtları tutulmaktadır.</t>
  </si>
  <si>
    <t>Çalışanlar ile işveren arasında olumlu iletişim sağlanmaktadır.</t>
  </si>
  <si>
    <t>Elektrik çarpma riskine karşı sigortalar bulunmaktadır.</t>
  </si>
  <si>
    <t>Elektrik panoları ve elektrik pano oda kapıları her zaman kilitli tutulmamaktadır.</t>
  </si>
  <si>
    <t>Çalışanların görev tanımları vardır.</t>
  </si>
  <si>
    <t>Tıbbi atık üretilmemektedir.</t>
  </si>
  <si>
    <t xml:space="preserve">Raflar ve dolaplar uygun bağlantı elemanları ile duvara sabitlenmelidir. İşyerinde her dolap kontrol edilmelidir. İşyerinde duvara monte edilmemiş dolaplar bulunmaktadır. </t>
  </si>
  <si>
    <t>Sigorta kutuları korunaklı yerlerdedir ve varsa dolap kapakları ve kapıları kilitli tutulmaktadır.</t>
  </si>
  <si>
    <t xml:space="preserve">Acil durum yönlendirmeleri bina içinde mevcuttur. </t>
  </si>
  <si>
    <t xml:space="preserve">Ağır yükler elle taşınmamaktadır. </t>
  </si>
  <si>
    <t xml:space="preserve">Acil durum kaçış yönlerini gösteren levhaların yakınında ışıklı işaretler ve yanıltıcı işaretler bulunmamaktadır. </t>
  </si>
  <si>
    <t xml:space="preserve"> Acil çıkış yolları doğru yönlendirme yapılarak levhalar ile işaretlenmiştir.</t>
  </si>
  <si>
    <t>Yüksek sesli çalışan ekipman bulunmamaktadır.</t>
  </si>
  <si>
    <t xml:space="preserve">Yüksekte çalışma yapılmamaktadır. </t>
  </si>
  <si>
    <t>Acil durum eğitimleri yapılmıştır..</t>
  </si>
  <si>
    <t>Acil durum planı hazırlanmıştır. Acil durum eğitimleri verilmiştir.</t>
  </si>
  <si>
    <t>Acil durum ekipleri eğitimi yapılmaktadır. Acil durum ekiplerine ulaşım telefon numaraları katlarda ilan edilmektedir..</t>
  </si>
  <si>
    <t>Acil kapı çıkışları önünde malzeme bulundurulmamaktadır.</t>
  </si>
  <si>
    <t>İşyeri binası girişinde özel güvenlik güçleri bulunmaktadır.</t>
  </si>
  <si>
    <t>Cam yüzeylerde kırık ve çatlak bulunmamaktadır. Kırık ve çarlak olması halinde uygun şartlar sağlanarak değişim yapılmaktadır.</t>
  </si>
  <si>
    <t>Tertip ve düzen sağlanmakta, kontrol yapılmaktadır.</t>
  </si>
  <si>
    <t>Tozlu çalışma ortamı bulunmamaktadır, temizlik düzenli aralıklarda yapılmaktadır.</t>
  </si>
  <si>
    <t>Tahliye planları ilgili yerlerde bulundurulmaktadır.</t>
  </si>
  <si>
    <t>Şiddetli rüzgar olması halinde personel işyerinden ayrılmadan,  sığınakta hava şartlarının  yatışmasını bekleyecektir. Gerekli acil durum eğitimleri verilmiştir.</t>
  </si>
  <si>
    <t>Tahliye planı krokileri ilan edilmektedir.</t>
  </si>
  <si>
    <t>Ofislerde ayarlanabilir perde mevcuttur.</t>
  </si>
  <si>
    <t>Sabotaja karşı özel güvenlik görevlileri ile önlem alınmaktadır</t>
  </si>
  <si>
    <t>Yeterli sürelerde ara dinlenmeleri verilmektedir. Çalışanın belden bükülmesi engellenmektedir.</t>
  </si>
  <si>
    <t>Yorgunluk, uykusuzluk</t>
  </si>
  <si>
    <t>112 aranarak önlem alınması beklenmektedir.</t>
  </si>
  <si>
    <t>Psikolojik sorunlar, stres, mobbing</t>
  </si>
  <si>
    <t>İkincil öncelik</t>
  </si>
  <si>
    <t>Dördüncü öncelik</t>
  </si>
  <si>
    <t>Üçüncül öncelik</t>
  </si>
  <si>
    <t xml:space="preserve">                                                                                                                                                                                                                                  </t>
  </si>
  <si>
    <t>2)İş Güvenliği Uzmanı    
MERVE KAVLAK</t>
  </si>
  <si>
    <t>İş yerinde acil durum ekipleri iletişim numaraları ilan edilmektedir.</t>
  </si>
  <si>
    <t>Kendinden sigortalı uzatma prizleri kullanılmaktadır.</t>
  </si>
  <si>
    <t>Teknik ekipmanların bulunduğu oda kapılarında gerekli uyarı işaret levhaları bulundurulmaktadır.</t>
  </si>
  <si>
    <t>Elektirik hatlarında kaçak akım rölesi bulunmaktadır.</t>
  </si>
  <si>
    <t>Sağlam ve dengeli merdivenler kullanıldığı bilgisi verildi.</t>
  </si>
  <si>
    <t>Çalışma Ortamı /Tüm çalışanların ADEP ekiplerinden habersiz olması</t>
  </si>
  <si>
    <t>Elektrik kutuları ve pano odaları kilitli tutulmaktadır.</t>
  </si>
  <si>
    <t>Ekranların parlama dereceleri ayarlanabilmektedir.</t>
  </si>
  <si>
    <t>İşyeri bilgi sistemi, bilgisaysar kayıtları, önemli evrak ve dökümanlar / Veri kaybı</t>
  </si>
  <si>
    <t>Soğuk ve sıcak içeceklerin hazırlanması için uygun alan bulunmaktadır.</t>
  </si>
  <si>
    <t>Acil çıkış kapısı olarak daire kapası kullanılmaktadır. Kapı içeri doğru açılmaktadır.</t>
  </si>
  <si>
    <t>Açıkta dağınık kablo bulunmamaktadır.</t>
  </si>
  <si>
    <t>Devrilebilecek ekipmanların sabit değildir.</t>
  </si>
  <si>
    <t>Tarihi geçmiş kimyasal temizlik malzemeleri kullanılmamakta ve bulundurulmamaktadır.</t>
  </si>
  <si>
    <t>Kimyasal maddeler üzerinde kullanma talimatları bulunmaktadır.</t>
  </si>
  <si>
    <t>Çalışanlar için aktiviteler düzenlenmektedir.</t>
  </si>
  <si>
    <t>Acil durumlara müdahale eksiklik /Yangında jeneratörün zarar görmesi ve elektrik sisteminin çalışmaması, jeneratörün yanması, kaçış yollarının kapanması</t>
  </si>
  <si>
    <t>Araç kullanan personelin araca uygun ehliyeti bulunmaktadır,trafik kurallarına uyum sağlanmaktadır.</t>
  </si>
  <si>
    <t>İlk yardım dolabı bulunmamaktadır.</t>
  </si>
  <si>
    <t>Bulaşıcı hastalıkların artması,gerekli hijyenin sağlanamaması</t>
  </si>
  <si>
    <t>Çalışanların görev yetki ve sorumlulukları tebliğ edilmiştir.</t>
  </si>
  <si>
    <t>Sivri ve sert köşeler baş hizasında bulunmamaktadır.</t>
  </si>
  <si>
    <t>Uygun temizlik yöntemleri belirlenmektedir.</t>
  </si>
  <si>
    <t>Enerji kesintisi halinde yedek jeneratör bulunmaktadır.</t>
  </si>
  <si>
    <t>Elektrik panolarında kaçak akım röleleri bulunmaktadır.</t>
  </si>
  <si>
    <t>SERVER ODASI</t>
  </si>
  <si>
    <t>Yangın söndürücü cihazının bulunmaması</t>
  </si>
  <si>
    <t xml:space="preserve">Yangın </t>
  </si>
  <si>
    <t>Server odasında CO2 YSC bulunmaktadır.</t>
  </si>
  <si>
    <t>Mevcut önlem devam ettirilmelidir.</t>
  </si>
  <si>
    <t>Binaların Yangından  Korunması Hakkında Yönetmelik</t>
  </si>
  <si>
    <t>Verilere müdahale edilmesi,verilerin değiştirilmesi, ağ sabotajı</t>
  </si>
  <si>
    <t>Server odasında duman dedektörünün bulunmaması</t>
  </si>
  <si>
    <t>Yetkisiz kişilerin server odasına girmesi,Siber saldırı</t>
  </si>
  <si>
    <t>Server odasının kapısının kilitli olmaması</t>
  </si>
  <si>
    <t xml:space="preserve"> Server odasının kapısı kilitli tutulmaktadır,server odasına sistem mühendisleri dışındaki çalışanlar girmemektedir.</t>
  </si>
  <si>
    <t>Acil durum planı hazırlanmıştır. Alarm sisteminin çalışıp çalışmadığı Tepe Prime yönetimi tarafından kontrol edildiği bilgisi verildi.</t>
  </si>
  <si>
    <t xml:space="preserve">4.Çalışan Temsilcisi
</t>
  </si>
  <si>
    <t xml:space="preserve">4)Çalışan Temsilcisi  
</t>
  </si>
  <si>
    <t>Yangın algılama sistemlerinin çalışabilirlik durumu Tepe Prime teknik ekip tarafından kontrol ve takip edilmektedir.</t>
  </si>
  <si>
    <t xml:space="preserve">2. İşyeri Hekimi
</t>
  </si>
  <si>
    <t xml:space="preserve">3)İşyeri Hekimi      
</t>
  </si>
  <si>
    <t xml:space="preserve">Sayfa No : </t>
  </si>
  <si>
    <t>Elektrik sisteminin periyodik bakımı belirli sürelerde  teknik birim tarafından yapılmaktadır.</t>
  </si>
  <si>
    <t>Tüm dolapların duvara uygun şekilde sabitlenmediği tespit edilmemiştir. Tüm dolaplar kontrol edilerek duvara uygun aparatlar kullanılarak evrilmeye karşı sabitlenmelidir.</t>
  </si>
  <si>
    <t>Fabrikanın yaptığı tatbikata katılım sağlanmaktadır.</t>
  </si>
  <si>
    <t>Alarm sisteminin  teknik birim tarafıdan kontrol edildiği bilgisi verildi.</t>
  </si>
  <si>
    <t>Yangın algılama sistemlerinin çalışabilirlik durumu  teknik ekip tarafından kontrol ve takip edilmektedir.</t>
  </si>
  <si>
    <t>İklimlendirme cihazlarının bakım ve periyodik kontrolleri teknik birim tarafından yapıldığı bilgisi verilmiştir.</t>
  </si>
  <si>
    <t>Yıldırım düşmesine karşı paratoner bulunmaktadır. Paratoner bakımı yılda bir sefer bakım onarım birimii tarafından yaptırılmaktadır.</t>
  </si>
  <si>
    <t>Tavanda oluşabilecek sarkıtlar bakım onarım birimi tarafından engellenmekte ve temizlenmektedir.</t>
  </si>
  <si>
    <t>Acil durum uyarı sistemi kontrol bakım onarım birimi tarafından kontrol edilmektedir.</t>
  </si>
  <si>
    <t>1.İş Güvenliği Uzmanı
MERVE KAVLAK</t>
  </si>
  <si>
    <t>İşyeri Ünvanı: LAZZONİ MOBİLYA SANAYİ TURİZM VE İNŞAAT ANONİM ŞİRKETİ SGK NO:2 8211 1 1 1193914 6 27 9 0 Adres:Çankırı Bulvarı NO:49/A Akyurt/ANKARA</t>
  </si>
  <si>
    <t>3.İşveren Vekili
ESİN ŞİMŞEK SALAR</t>
  </si>
  <si>
    <t>1)İşveren Vekili
ESİN ŞİMŞEK SALAR</t>
  </si>
  <si>
    <t>Dok. No.</t>
  </si>
  <si>
    <t>Yayın Tarihi:</t>
  </si>
  <si>
    <t>Rev. No / Rev. Tarihi</t>
  </si>
  <si>
    <t>LS.ISG.01</t>
  </si>
  <si>
    <t>0/0</t>
  </si>
  <si>
    <t>LAZZONİ 49A RİSK DEĞERLENDİRME ANALİZİ</t>
  </si>
</sst>
</file>

<file path=xl/styles.xml><?xml version="1.0" encoding="utf-8"?>
<styleSheet xmlns="http://schemas.openxmlformats.org/spreadsheetml/2006/main" xmlns:mc="http://schemas.openxmlformats.org/markup-compatibility/2006" xmlns:x14ac="http://schemas.microsoft.com/office/spreadsheetml/2009/9/ac" mc:Ignorable="x14ac">
  <fonts count="36">
    <font>
      <sz val="11"/>
      <color theme="1"/>
      <name val="Calibri"/>
      <family val="2"/>
      <charset val="162"/>
      <scheme val="minor"/>
    </font>
    <font>
      <sz val="10"/>
      <color theme="1"/>
      <name val="Arial"/>
      <family val="2"/>
    </font>
    <font>
      <sz val="11"/>
      <color indexed="8"/>
      <name val="Calibri"/>
      <family val="2"/>
      <charset val="162"/>
    </font>
    <font>
      <sz val="11"/>
      <name val="Calibri"/>
      <family val="2"/>
      <charset val="162"/>
      <scheme val="minor"/>
    </font>
    <font>
      <b/>
      <sz val="11"/>
      <color rgb="FFFF0000"/>
      <name val="Calibri"/>
      <family val="2"/>
      <charset val="162"/>
      <scheme val="minor"/>
    </font>
    <font>
      <sz val="12"/>
      <name val="Calibri"/>
      <family val="2"/>
      <charset val="162"/>
      <scheme val="minor"/>
    </font>
    <font>
      <sz val="12"/>
      <color rgb="FFFF0000"/>
      <name val="Calibri"/>
      <family val="2"/>
      <charset val="162"/>
      <scheme val="minor"/>
    </font>
    <font>
      <sz val="10"/>
      <name val="Arial"/>
      <family val="2"/>
      <charset val="162"/>
    </font>
    <font>
      <b/>
      <sz val="18"/>
      <color theme="1"/>
      <name val="Calibri"/>
      <family val="2"/>
      <charset val="162"/>
      <scheme val="minor"/>
    </font>
    <font>
      <b/>
      <sz val="14"/>
      <name val="Arial"/>
      <family val="2"/>
      <charset val="162"/>
    </font>
    <font>
      <sz val="10"/>
      <name val="Arial Tur"/>
      <family val="2"/>
      <charset val="162"/>
    </font>
    <font>
      <sz val="18"/>
      <color theme="1"/>
      <name val="Calibri"/>
      <family val="2"/>
      <charset val="162"/>
      <scheme val="minor"/>
    </font>
    <font>
      <b/>
      <sz val="22"/>
      <color theme="1"/>
      <name val="Times New Roman"/>
      <family val="1"/>
      <charset val="162"/>
    </font>
    <font>
      <b/>
      <sz val="22"/>
      <color theme="3" tint="-0.499969989061356"/>
      <name val="Times New Roman"/>
      <family val="1"/>
      <charset val="162"/>
    </font>
    <font>
      <b/>
      <sz val="22"/>
      <color rgb="FFFF0000"/>
      <name val="Times New Roman"/>
      <family val="1"/>
      <charset val="162"/>
    </font>
    <font>
      <b/>
      <sz val="22"/>
      <name val="Times New Roman"/>
      <family val="1"/>
      <charset val="162"/>
    </font>
    <font>
      <sz val="22"/>
      <name val="Times New Roman"/>
      <family val="1"/>
      <charset val="162"/>
    </font>
    <font>
      <sz val="22"/>
      <color theme="1"/>
      <name val="Times New Roman"/>
      <family val="1"/>
      <charset val="162"/>
    </font>
    <font>
      <b/>
      <sz val="22"/>
      <color rgb="FF000000"/>
      <name val="Times New Roman"/>
      <family val="1"/>
      <charset val="162"/>
    </font>
    <font>
      <b/>
      <sz val="18"/>
      <name val="Arial"/>
      <family val="2"/>
      <charset val="162"/>
    </font>
    <font>
      <b/>
      <sz val="18"/>
      <color indexed="9"/>
      <name val="Arial"/>
      <family val="2"/>
      <charset val="162"/>
    </font>
    <font>
      <sz val="18"/>
      <name val="Arial"/>
      <family val="2"/>
    </font>
    <font>
      <b/>
      <sz val="18"/>
      <name val="Calibri"/>
      <family val="2"/>
      <charset val="162"/>
    </font>
    <font>
      <b/>
      <sz val="18"/>
      <color theme="1"/>
      <name val="Arial"/>
      <family val="2"/>
      <charset val="162"/>
    </font>
    <font>
      <sz val="18"/>
      <color theme="1"/>
      <name val="Arial"/>
      <family val="2"/>
      <charset val="162"/>
    </font>
    <font>
      <b/>
      <sz val="18"/>
      <name val="Times New Roman"/>
      <family val="1"/>
      <charset val="162"/>
    </font>
    <font>
      <b/>
      <sz val="16"/>
      <name val="Times New Roman"/>
      <family val="1"/>
      <charset val="162"/>
    </font>
    <font>
      <b/>
      <sz val="20"/>
      <name val="Times New Roman"/>
      <family val="1"/>
      <charset val="162"/>
    </font>
    <font>
      <b/>
      <sz val="19"/>
      <name val="Times New Roman"/>
      <family val="1"/>
      <charset val="162"/>
    </font>
    <font>
      <b/>
      <sz val="14"/>
      <color theme="1"/>
      <name val="Times New Roman"/>
      <family val="1"/>
      <charset val="162"/>
    </font>
    <font>
      <b/>
      <sz val="15"/>
      <color theme="1"/>
      <name val="Times New Roman"/>
      <family val="1"/>
      <charset val="162"/>
    </font>
    <font>
      <sz val="16"/>
      <name val="Times New Roman"/>
      <family val="1"/>
      <charset val="162"/>
    </font>
    <font>
      <b/>
      <sz val="11"/>
      <name val="Calibri"/>
      <family val="2"/>
      <charset val="162"/>
      <scheme val="minor"/>
    </font>
    <font>
      <b/>
      <sz val="14"/>
      <name val="Times New Roman"/>
      <family val="1"/>
      <charset val="162"/>
    </font>
    <font>
      <b/>
      <sz val="48"/>
      <name val="Calibri"/>
      <family val="2"/>
      <charset val="162"/>
      <scheme val="minor"/>
    </font>
    <font>
      <b/>
      <sz val="20"/>
      <name val="Calibri"/>
      <family val="2"/>
      <charset val="162"/>
      <scheme val="minor"/>
    </font>
  </fonts>
  <fills count="16">
    <fill>
      <patternFill patternType="none"/>
    </fill>
    <fill>
      <patternFill patternType="gray125"/>
    </fill>
    <fill>
      <patternFill patternType="solid">
        <fgColor theme="4" tint="0.799979984760284"/>
        <bgColor indexed="64"/>
      </patternFill>
    </fill>
    <fill>
      <patternFill patternType="solid">
        <fgColor theme="0"/>
        <bgColor indexed="64"/>
      </patternFill>
    </fill>
    <fill>
      <patternFill patternType="solid">
        <fgColor theme="0" tint="-0.249970003962517"/>
        <bgColor indexed="64"/>
      </patternFill>
    </fill>
    <fill>
      <patternFill patternType="solid">
        <fgColor theme="0" tint="-0.149990007281303"/>
        <bgColor indexed="64"/>
      </patternFill>
    </fill>
    <fill>
      <patternFill patternType="solid">
        <fgColor rgb="FF66FF66"/>
        <bgColor indexed="64"/>
      </patternFill>
    </fill>
    <fill>
      <patternFill patternType="solid">
        <fgColor rgb="FF00FFFF"/>
        <bgColor indexed="64"/>
      </patternFill>
    </fill>
    <fill>
      <patternFill patternType="solid">
        <fgColor rgb="FFFFFF00"/>
        <bgColor indexed="64"/>
      </patternFill>
    </fill>
    <fill>
      <patternFill patternType="solid">
        <fgColor rgb="FFFF0000"/>
        <bgColor indexed="64"/>
      </patternFill>
    </fill>
    <fill>
      <patternFill patternType="solid">
        <fgColor indexed="65"/>
        <bgColor indexed="64"/>
      </patternFill>
    </fill>
    <fill>
      <patternFill patternType="solid">
        <fgColor indexed="22"/>
        <bgColor indexed="64"/>
      </patternFill>
    </fill>
    <fill>
      <patternFill patternType="solid">
        <fgColor indexed="10"/>
        <bgColor indexed="64"/>
      </patternFill>
    </fill>
    <fill>
      <patternFill patternType="solid">
        <fgColor theme="0" tint="-0.0499799996614456"/>
        <bgColor indexed="64"/>
      </patternFill>
    </fill>
    <fill>
      <patternFill patternType="solid">
        <fgColor indexed="15"/>
        <bgColor indexed="64"/>
      </patternFill>
    </fill>
    <fill>
      <patternFill patternType="solid">
        <fgColor indexed="13"/>
        <bgColor indexed="64"/>
      </patternFill>
    </fill>
  </fills>
  <borders count="46">
    <border>
      <left/>
      <right/>
      <top/>
      <bottom/>
      <diagonal/>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left style="medium">
        <color auto="1"/>
      </left>
      <right style="medium">
        <color auto="1"/>
      </right>
      <top style="thin">
        <color auto="1"/>
      </top>
      <bottom style="thin">
        <color auto="1"/>
      </bottom>
    </border>
    <border>
      <left/>
      <right style="thin">
        <color auto="1"/>
      </right>
      <top style="thin">
        <color auto="1"/>
      </top>
      <bottom style="thin">
        <color auto="1"/>
      </bottom>
    </border>
    <border>
      <left style="medium">
        <color auto="1"/>
      </left>
      <right style="hair">
        <color theme="4" tint="-0.499969989061356"/>
      </right>
      <top style="medium">
        <color auto="1"/>
      </top>
      <bottom style="medium">
        <color auto="1"/>
      </bottom>
    </border>
    <border>
      <left style="hair">
        <color theme="4" tint="-0.499969989061356"/>
      </left>
      <right style="medium">
        <color auto="1"/>
      </right>
      <top style="medium">
        <color auto="1"/>
      </top>
      <bottom style="medium">
        <color auto="1"/>
      </bottom>
    </border>
    <border>
      <left style="hair">
        <color theme="4" tint="-0.499969989061356"/>
      </left>
      <right style="hair">
        <color theme="4" tint="-0.499969989061356"/>
      </right>
      <top style="medium">
        <color auto="1"/>
      </top>
      <bottom style="medium">
        <color auto="1"/>
      </bottom>
    </border>
    <border>
      <left style="medium">
        <color auto="1"/>
      </left>
      <right style="medium">
        <color auto="1"/>
      </right>
      <top style="medium">
        <color auto="1"/>
      </top>
      <bottom style="thin">
        <color auto="1"/>
      </bottom>
    </border>
    <border>
      <left style="thin">
        <color auto="1"/>
      </left>
      <right style="thin">
        <color auto="1"/>
      </right>
      <top style="thin">
        <color auto="1"/>
      </top>
      <bottom/>
    </border>
    <border>
      <left style="medium">
        <color auto="1"/>
      </left>
      <right style="medium">
        <color auto="1"/>
      </right>
      <top style="medium">
        <color auto="1"/>
      </top>
      <bottom style="medium">
        <color auto="1"/>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medium">
        <color auto="1"/>
      </right>
      <top style="thin">
        <color auto="1"/>
      </top>
      <bottom style="medium">
        <color auto="1"/>
      </bottom>
    </border>
    <border>
      <left style="medium">
        <color auto="1"/>
      </left>
      <right/>
      <top style="medium">
        <color auto="1"/>
      </top>
      <bottom/>
    </border>
    <border>
      <left/>
      <right/>
      <top style="medium">
        <color auto="1"/>
      </top>
      <bottom/>
    </border>
    <border>
      <left/>
      <right style="medium">
        <color auto="1"/>
      </right>
      <top style="medium">
        <color auto="1"/>
      </top>
      <bottom/>
    </border>
    <border>
      <left style="medium">
        <color auto="1"/>
      </left>
      <right/>
      <top/>
      <bottom/>
    </border>
    <border>
      <left/>
      <right style="medium">
        <color auto="1"/>
      </right>
      <top/>
      <bottom/>
    </border>
    <border>
      <left style="medium">
        <color auto="1"/>
      </left>
      <right/>
      <top/>
      <bottom style="medium">
        <color auto="1"/>
      </bottom>
    </border>
    <border>
      <left/>
      <right/>
      <top/>
      <bottom style="medium">
        <color auto="1"/>
      </bottom>
    </border>
    <border>
      <left/>
      <right style="medium">
        <color auto="1"/>
      </right>
      <top/>
      <bottom style="medium">
        <color auto="1"/>
      </bottom>
    </border>
    <border>
      <left style="medium">
        <color auto="1"/>
      </left>
      <right/>
      <top style="medium">
        <color auto="1"/>
      </top>
      <bottom style="medium">
        <color auto="1"/>
      </bottom>
    </border>
    <border>
      <left/>
      <right style="medium">
        <color auto="1"/>
      </right>
      <top style="medium">
        <color auto="1"/>
      </top>
      <bottom style="medium">
        <color auto="1"/>
      </bottom>
    </border>
    <border>
      <left style="thin">
        <color auto="1"/>
      </left>
      <right/>
      <top style="medium">
        <color auto="1"/>
      </top>
      <bottom style="thin">
        <color auto="1"/>
      </bottom>
    </border>
    <border>
      <left style="thin">
        <color auto="1"/>
      </left>
      <right/>
      <top style="thin">
        <color auto="1"/>
      </top>
      <bottom style="thin">
        <color auto="1"/>
      </bottom>
    </border>
    <border>
      <left style="thin">
        <color auto="1"/>
      </left>
      <right/>
      <top style="thin">
        <color auto="1"/>
      </top>
      <bottom style="medium">
        <color auto="1"/>
      </bottom>
    </border>
    <border>
      <left style="medium">
        <color auto="1"/>
      </left>
      <right/>
      <top style="medium">
        <color auto="1"/>
      </top>
      <bottom style="thin">
        <color auto="1"/>
      </bottom>
    </border>
    <border>
      <left style="medium">
        <color auto="1"/>
      </left>
      <right/>
      <top style="thin">
        <color auto="1"/>
      </top>
      <bottom style="thin">
        <color auto="1"/>
      </bottom>
    </border>
    <border>
      <left style="medium">
        <color auto="1"/>
      </left>
      <right/>
      <top style="thin">
        <color auto="1"/>
      </top>
      <bottom/>
    </border>
    <border>
      <left/>
      <right style="thin">
        <color auto="1"/>
      </right>
      <top style="medium">
        <color auto="1"/>
      </top>
      <bottom style="thin">
        <color auto="1"/>
      </bottom>
    </border>
    <border>
      <left/>
      <right style="thin">
        <color auto="1"/>
      </right>
      <top style="thin">
        <color auto="1"/>
      </top>
      <bottom style="medium">
        <color auto="1"/>
      </bottom>
    </border>
    <border>
      <left style="medium">
        <color auto="1"/>
      </left>
      <right style="thin">
        <color auto="1"/>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medium">
        <color auto="1"/>
      </left>
      <right style="medium">
        <color auto="1"/>
      </right>
      <top style="medium">
        <color auto="1"/>
      </top>
      <bottom/>
    </border>
    <border>
      <left/>
      <right/>
      <top style="medium">
        <color auto="1"/>
      </top>
      <bottom style="medium">
        <color auto="1"/>
      </bottom>
    </border>
    <border>
      <left/>
      <right/>
      <top style="medium">
        <color auto="1"/>
      </top>
      <bottom style="thin">
        <color auto="1"/>
      </bottom>
    </border>
    <border>
      <left/>
      <right/>
      <top style="thin">
        <color auto="1"/>
      </top>
      <bottom style="medium">
        <color auto="1"/>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lignment/>
      <protection/>
    </xf>
    <xf numFmtId="0" fontId="7" fillId="0" borderId="0">
      <alignment/>
      <protection/>
    </xf>
    <xf numFmtId="0" fontId="10" fillId="0" borderId="0">
      <alignment/>
      <protection/>
    </xf>
    <xf numFmtId="0" fontId="7" fillId="0" borderId="0">
      <alignment/>
      <protection/>
    </xf>
  </cellStyleXfs>
  <cellXfs count="271">
    <xf numFmtId="0" fontId="0" fillId="0" borderId="0" xfId="0"/>
    <xf numFmtId="0" fontId="3" fillId="2" borderId="0" xfId="0" applyFont="1" applyFill="1"/>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5" fillId="2" borderId="0" xfId="0" applyFont="1" applyFill="1"/>
    <xf numFmtId="0" fontId="6" fillId="2" borderId="0" xfId="0" applyFont="1" applyFill="1" applyAlignment="1">
      <alignment horizontal="center"/>
    </xf>
    <xf numFmtId="0" fontId="5" fillId="2" borderId="0" xfId="0" applyFont="1" applyFill="1" applyAlignment="1">
      <alignment horizontal="left"/>
    </xf>
    <xf numFmtId="0" fontId="0" fillId="0" borderId="0" xfId="0" applyAlignment="1">
      <alignment horizontal="justify" vertical="center"/>
    </xf>
    <xf numFmtId="0" fontId="5" fillId="3" borderId="0" xfId="0" applyFont="1" applyFill="1"/>
    <xf numFmtId="0" fontId="3" fillId="3" borderId="0" xfId="0" applyFont="1" applyFill="1"/>
    <xf numFmtId="0" fontId="5" fillId="3" borderId="0" xfId="0" applyFont="1" applyFill="1" applyAlignment="1">
      <alignment horizontal="center"/>
    </xf>
    <xf numFmtId="0" fontId="5" fillId="3" borderId="0" xfId="0" applyFont="1" applyFill="1" applyAlignment="1">
      <alignment horizontal="left"/>
    </xf>
    <xf numFmtId="0" fontId="6" fillId="3"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0" fillId="3" borderId="0" xfId="0" applyFill="1"/>
    <xf numFmtId="0" fontId="0" fillId="4" borderId="0" xfId="0" applyFill="1" applyAlignment="1">
      <alignment horizontal="justify" vertical="center"/>
    </xf>
    <xf numFmtId="0" fontId="13" fillId="5" borderId="1"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5" fillId="2" borderId="8" xfId="21" applyFont="1" applyFill="1" applyBorder="1" applyAlignment="1">
      <alignment horizontal="center" vertical="center" wrapText="1"/>
      <protection/>
    </xf>
    <xf numFmtId="0" fontId="16" fillId="2" borderId="2" xfId="21" applyFont="1" applyFill="1" applyBorder="1" applyAlignment="1">
      <alignment horizontal="center" vertical="center" wrapText="1"/>
      <protection/>
    </xf>
    <xf numFmtId="0" fontId="16" fillId="2" borderId="2"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2" fillId="8" borderId="11"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6" fillId="2" borderId="2" xfId="22" applyFont="1" applyFill="1" applyBorder="1" applyAlignment="1">
      <alignment horizontal="center" vertical="center" wrapText="1"/>
      <protection/>
    </xf>
    <xf numFmtId="0" fontId="18" fillId="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5" fillId="2" borderId="8" xfId="22" applyFont="1" applyFill="1" applyBorder="1" applyAlignment="1">
      <alignment horizontal="center" vertical="center" wrapText="1"/>
      <protection/>
    </xf>
    <xf numFmtId="14" fontId="12" fillId="2" borderId="2" xfId="0" applyNumberFormat="1" applyFont="1" applyFill="1" applyBorder="1" applyAlignment="1">
      <alignment horizontal="center" vertical="center" wrapText="1"/>
    </xf>
    <xf numFmtId="0" fontId="12" fillId="2" borderId="8" xfId="0" applyFont="1" applyFill="1" applyBorder="1" applyAlignment="1">
      <alignment horizontal="center" vertical="center" wrapText="1"/>
    </xf>
    <xf numFmtId="0" fontId="16" fillId="2" borderId="2" xfId="23" applyFont="1" applyFill="1" applyBorder="1" applyAlignment="1">
      <alignment horizontal="center" vertical="center" wrapText="1"/>
      <protection/>
    </xf>
    <xf numFmtId="0" fontId="16" fillId="2" borderId="13" xfId="22" applyFont="1" applyFill="1" applyBorder="1" applyAlignment="1">
      <alignment horizontal="center" vertical="center" wrapText="1"/>
      <protection/>
    </xf>
    <xf numFmtId="0" fontId="15" fillId="2" borderId="13" xfId="22" applyFont="1" applyFill="1" applyBorder="1" applyAlignment="1">
      <alignment horizontal="center" vertical="center" wrapText="1"/>
      <protection/>
    </xf>
    <xf numFmtId="0" fontId="17" fillId="2" borderId="13" xfId="0" applyFont="1" applyFill="1" applyBorder="1" applyAlignment="1">
      <alignment horizontal="center" vertical="center" wrapText="1"/>
    </xf>
    <xf numFmtId="0" fontId="16" fillId="2" borderId="14" xfId="22" applyFont="1" applyFill="1" applyBorder="1" applyAlignment="1">
      <alignment horizontal="center" vertical="center" wrapText="1"/>
      <protection/>
    </xf>
    <xf numFmtId="0" fontId="15" fillId="2" borderId="14" xfId="22" applyFont="1" applyFill="1" applyBorder="1" applyAlignment="1">
      <alignment horizontal="center" vertical="center" wrapText="1"/>
      <protection/>
    </xf>
    <xf numFmtId="0" fontId="17" fillId="2" borderId="14"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19" fillId="10" borderId="16" xfId="0" applyFont="1" applyFill="1" applyBorder="1" applyAlignment="1">
      <alignment horizontal="center" vertical="center" wrapText="1"/>
    </xf>
    <xf numFmtId="0" fontId="19" fillId="10" borderId="17" xfId="0" applyFont="1" applyFill="1" applyBorder="1" applyAlignment="1">
      <alignment horizontal="center" vertical="center" wrapText="1"/>
    </xf>
    <xf numFmtId="0" fontId="19" fillId="10" borderId="12" xfId="0" applyFont="1" applyFill="1" applyBorder="1" applyAlignment="1">
      <alignment horizontal="center" vertical="center"/>
    </xf>
    <xf numFmtId="0" fontId="22" fillId="6" borderId="1" xfId="0" applyFont="1" applyFill="1" applyBorder="1" applyAlignment="1">
      <alignment horizontal="center" vertical="center"/>
    </xf>
    <xf numFmtId="0" fontId="22" fillId="6" borderId="2" xfId="0" applyFont="1" applyFill="1" applyBorder="1" applyAlignment="1">
      <alignment horizontal="center" vertical="center"/>
    </xf>
    <xf numFmtId="0" fontId="22" fillId="7" borderId="3" xfId="0" applyFont="1" applyFill="1" applyBorder="1" applyAlignment="1">
      <alignment horizontal="center" vertical="center"/>
    </xf>
    <xf numFmtId="0" fontId="19" fillId="10" borderId="7" xfId="0" applyFont="1" applyFill="1" applyBorder="1" applyAlignment="1">
      <alignment horizontal="center" vertical="center"/>
    </xf>
    <xf numFmtId="0" fontId="22" fillId="7" borderId="2" xfId="0" applyFont="1" applyFill="1" applyBorder="1" applyAlignment="1">
      <alignment horizontal="center" vertical="center"/>
    </xf>
    <xf numFmtId="0" fontId="22" fillId="8" borderId="3" xfId="0" applyFont="1" applyFill="1" applyBorder="1" applyAlignment="1">
      <alignment horizontal="center" vertical="center"/>
    </xf>
    <xf numFmtId="0" fontId="22" fillId="8" borderId="2" xfId="0" applyFont="1" applyFill="1" applyBorder="1" applyAlignment="1">
      <alignment horizontal="center" vertical="center"/>
    </xf>
    <xf numFmtId="0" fontId="11" fillId="0" borderId="16" xfId="0" applyFont="1" applyBorder="1" applyAlignment="1">
      <alignment horizontal="center" vertical="center"/>
    </xf>
    <xf numFmtId="0" fontId="11" fillId="11" borderId="16" xfId="0" applyFont="1" applyFill="1" applyBorder="1" applyAlignment="1">
      <alignment horizontal="center" vertical="center" wrapText="1"/>
    </xf>
    <xf numFmtId="0" fontId="11" fillId="0" borderId="16" xfId="0" applyFont="1" applyBorder="1" applyAlignment="1">
      <alignment horizontal="center" vertical="top"/>
    </xf>
    <xf numFmtId="0" fontId="11" fillId="11" borderId="16" xfId="0" applyFont="1" applyFill="1" applyBorder="1" applyAlignment="1">
      <alignment horizontal="center" vertical="center"/>
    </xf>
    <xf numFmtId="0" fontId="11" fillId="0" borderId="17" xfId="0" applyFont="1" applyBorder="1" applyAlignment="1">
      <alignment vertical="top"/>
    </xf>
    <xf numFmtId="0" fontId="22" fillId="9" borderId="2" xfId="0" applyFont="1" applyFill="1" applyBorder="1" applyAlignment="1">
      <alignment horizontal="center" vertical="center"/>
    </xf>
    <xf numFmtId="0" fontId="22" fillId="9" borderId="3" xfId="0" applyFont="1" applyFill="1" applyBorder="1" applyAlignment="1">
      <alignment horizontal="center" vertical="center"/>
    </xf>
    <xf numFmtId="0" fontId="11" fillId="0" borderId="5" xfId="0" applyFont="1" applyBorder="1" applyAlignment="1">
      <alignment vertical="top" wrapText="1"/>
    </xf>
    <xf numFmtId="0" fontId="11" fillId="11" borderId="5" xfId="0" applyFont="1" applyFill="1" applyBorder="1" applyAlignment="1">
      <alignment horizontal="center" vertical="center" wrapText="1"/>
    </xf>
    <xf numFmtId="0" fontId="11" fillId="0" borderId="6" xfId="0" applyFont="1" applyBorder="1" applyAlignment="1">
      <alignment vertical="top" wrapText="1"/>
    </xf>
    <xf numFmtId="0" fontId="19" fillId="10" borderId="18" xfId="0" applyFont="1" applyFill="1" applyBorder="1" applyAlignment="1">
      <alignment horizontal="center" vertical="center"/>
    </xf>
    <xf numFmtId="0" fontId="22" fillId="7" borderId="4" xfId="0" applyFont="1" applyFill="1" applyBorder="1" applyAlignment="1">
      <alignment horizontal="center" vertical="center"/>
    </xf>
    <xf numFmtId="0" fontId="22" fillId="8" borderId="5" xfId="0" applyFont="1" applyFill="1" applyBorder="1" applyAlignment="1">
      <alignment horizontal="center" vertical="center"/>
    </xf>
    <xf numFmtId="0" fontId="22" fillId="9" borderId="5" xfId="0" applyFont="1" applyFill="1" applyBorder="1" applyAlignment="1">
      <alignment horizontal="center" vertical="center"/>
    </xf>
    <xf numFmtId="0" fontId="22" fillId="9" borderId="6" xfId="0" applyFont="1" applyFill="1" applyBorder="1" applyAlignment="1">
      <alignment horizontal="center" vertical="center"/>
    </xf>
    <xf numFmtId="0" fontId="19" fillId="0" borderId="14" xfId="0" applyFont="1" applyBorder="1" applyAlignment="1">
      <alignment horizontal="center" vertical="center"/>
    </xf>
    <xf numFmtId="14" fontId="11" fillId="0" borderId="14" xfId="0" applyNumberFormat="1" applyFont="1" applyBorder="1" applyAlignment="1">
      <alignment horizontal="center" vertical="top"/>
    </xf>
    <xf numFmtId="0" fontId="25" fillId="2" borderId="2"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29" fillId="2" borderId="2"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1" fillId="2" borderId="2" xfId="22" applyFont="1" applyFill="1" applyBorder="1" applyAlignment="1">
      <alignment horizontal="center" vertical="center" wrapText="1"/>
      <protection/>
    </xf>
    <xf numFmtId="0" fontId="32" fillId="2" borderId="2" xfId="0" applyFont="1" applyFill="1" applyBorder="1" applyAlignment="1">
      <alignment horizontal="center" vertical="center" wrapText="1"/>
    </xf>
    <xf numFmtId="0" fontId="33" fillId="2" borderId="2" xfId="0" applyFont="1" applyFill="1" applyBorder="1" applyAlignment="1">
      <alignment horizontal="center" vertical="center" wrapText="1"/>
    </xf>
    <xf numFmtId="0" fontId="34" fillId="3" borderId="19" xfId="0" applyFont="1" applyFill="1" applyBorder="1" applyAlignment="1">
      <alignment horizontal="center" vertical="center"/>
    </xf>
    <xf numFmtId="0" fontId="34" fillId="3" borderId="20" xfId="0" applyFont="1" applyFill="1" applyBorder="1" applyAlignment="1">
      <alignment horizontal="center" vertical="center"/>
    </xf>
    <xf numFmtId="0" fontId="34" fillId="3" borderId="21" xfId="0" applyFont="1" applyFill="1" applyBorder="1" applyAlignment="1">
      <alignment horizontal="center" vertical="center"/>
    </xf>
    <xf numFmtId="0" fontId="34" fillId="3" borderId="22" xfId="0" applyFont="1" applyFill="1" applyBorder="1" applyAlignment="1">
      <alignment horizontal="center" vertical="center"/>
    </xf>
    <xf numFmtId="0" fontId="34" fillId="3" borderId="0" xfId="0" applyFont="1" applyFill="1" applyBorder="1" applyAlignment="1">
      <alignment horizontal="center" vertical="center"/>
    </xf>
    <xf numFmtId="0" fontId="34" fillId="3" borderId="23" xfId="0" applyFont="1" applyFill="1" applyBorder="1" applyAlignment="1">
      <alignment horizontal="center" vertical="center"/>
    </xf>
    <xf numFmtId="0" fontId="34" fillId="3" borderId="24" xfId="0" applyFont="1" applyFill="1" applyBorder="1" applyAlignment="1">
      <alignment horizontal="center" vertical="center"/>
    </xf>
    <xf numFmtId="0" fontId="34" fillId="3" borderId="25" xfId="0" applyFont="1" applyFill="1" applyBorder="1" applyAlignment="1">
      <alignment horizontal="center" vertical="center"/>
    </xf>
    <xf numFmtId="0" fontId="34" fillId="3" borderId="26" xfId="0" applyFont="1" applyFill="1" applyBorder="1" applyAlignment="1">
      <alignment horizontal="center" vertical="center"/>
    </xf>
    <xf numFmtId="0" fontId="5" fillId="3" borderId="19" xfId="0" applyFont="1" applyFill="1" applyBorder="1" applyAlignment="1">
      <alignment horizontal="center"/>
    </xf>
    <xf numFmtId="0" fontId="5" fillId="3" borderId="20" xfId="0" applyFont="1" applyFill="1" applyBorder="1" applyAlignment="1">
      <alignment horizontal="center"/>
    </xf>
    <xf numFmtId="0" fontId="5" fillId="3" borderId="21" xfId="0" applyFont="1" applyFill="1" applyBorder="1" applyAlignment="1">
      <alignment horizontal="center"/>
    </xf>
    <xf numFmtId="0" fontId="5" fillId="3" borderId="22" xfId="0" applyFont="1" applyFill="1" applyBorder="1" applyAlignment="1">
      <alignment horizontal="center"/>
    </xf>
    <xf numFmtId="0" fontId="5" fillId="3" borderId="0" xfId="0" applyFont="1" applyFill="1" applyBorder="1" applyAlignment="1">
      <alignment horizontal="center"/>
    </xf>
    <xf numFmtId="0" fontId="5" fillId="3" borderId="23" xfId="0" applyFont="1" applyFill="1" applyBorder="1" applyAlignment="1">
      <alignment horizontal="center"/>
    </xf>
    <xf numFmtId="0" fontId="5" fillId="3" borderId="24" xfId="0" applyFont="1" applyFill="1" applyBorder="1" applyAlignment="1">
      <alignment horizontal="center"/>
    </xf>
    <xf numFmtId="0" fontId="5" fillId="3" borderId="25" xfId="0" applyFont="1" applyFill="1" applyBorder="1" applyAlignment="1">
      <alignment horizontal="center"/>
    </xf>
    <xf numFmtId="0" fontId="5" fillId="3" borderId="26" xfId="0" applyFont="1" applyFill="1" applyBorder="1" applyAlignment="1">
      <alignment horizontal="center"/>
    </xf>
    <xf numFmtId="0" fontId="12" fillId="5" borderId="16"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5" xfId="0" applyFont="1" applyFill="1" applyBorder="1" applyAlignment="1">
      <alignment horizontal="center" vertical="center"/>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8" fillId="0" borderId="21" xfId="0"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14" fontId="11" fillId="0" borderId="14" xfId="0" applyNumberFormat="1" applyFont="1" applyBorder="1" applyAlignment="1">
      <alignment horizontal="center" vertical="top" wrapText="1"/>
    </xf>
    <xf numFmtId="0" fontId="11" fillId="0" borderId="14" xfId="0" applyFont="1" applyBorder="1" applyAlignment="1">
      <alignment wrapText="1"/>
    </xf>
    <xf numFmtId="0" fontId="23" fillId="0" borderId="14" xfId="0" applyFont="1" applyBorder="1" applyAlignment="1">
      <alignment horizontal="center" vertical="center" wrapText="1"/>
    </xf>
    <xf numFmtId="0" fontId="11" fillId="0" borderId="14" xfId="0" applyFont="1" applyBorder="1" applyAlignment="1">
      <alignmen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4" xfId="0" applyFont="1" applyBorder="1" applyAlignment="1">
      <alignment horizontal="left" vertical="center" wrapText="1"/>
    </xf>
    <xf numFmtId="0" fontId="11" fillId="0" borderId="25" xfId="0" applyFont="1" applyBorder="1" applyAlignment="1">
      <alignment horizontal="left" vertical="center" wrapText="1"/>
    </xf>
    <xf numFmtId="0" fontId="11" fillId="0" borderId="26" xfId="0" applyFont="1" applyBorder="1" applyAlignment="1">
      <alignment horizontal="left" vertical="center" wrapText="1"/>
    </xf>
    <xf numFmtId="0" fontId="12" fillId="5" borderId="16"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19" fillId="11" borderId="27" xfId="0" applyFont="1" applyFill="1" applyBorder="1" applyAlignment="1">
      <alignment horizontal="center"/>
    </xf>
    <xf numFmtId="0" fontId="19" fillId="11" borderId="28" xfId="0" applyFont="1" applyFill="1" applyBorder="1" applyAlignment="1">
      <alignment horizontal="center"/>
    </xf>
    <xf numFmtId="0" fontId="19" fillId="11" borderId="14" xfId="0" applyFont="1" applyFill="1" applyBorder="1" applyAlignment="1">
      <alignment horizontal="center"/>
    </xf>
    <xf numFmtId="0" fontId="12" fillId="5" borderId="1"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29" xfId="0" applyFont="1" applyFill="1" applyBorder="1" applyAlignment="1">
      <alignment horizontal="center" vertical="center" wrapText="1"/>
    </xf>
    <xf numFmtId="0" fontId="12" fillId="5" borderId="30" xfId="0" applyFont="1" applyFill="1" applyBorder="1" applyAlignment="1">
      <alignment horizontal="center" vertical="center" wrapText="1"/>
    </xf>
    <xf numFmtId="0" fontId="12" fillId="5" borderId="31" xfId="0" applyFont="1" applyFill="1" applyBorder="1" applyAlignment="1">
      <alignment horizontal="center" vertical="center" wrapText="1"/>
    </xf>
    <xf numFmtId="0" fontId="19" fillId="11" borderId="19" xfId="0" applyFont="1" applyFill="1" applyBorder="1" applyAlignment="1">
      <alignment horizontal="right" vertical="top"/>
    </xf>
    <xf numFmtId="0" fontId="19" fillId="11" borderId="20" xfId="0" applyFont="1" applyFill="1" applyBorder="1" applyAlignment="1">
      <alignment horizontal="right" vertical="top"/>
    </xf>
    <xf numFmtId="0" fontId="19" fillId="11" borderId="21" xfId="0" applyFont="1" applyFill="1" applyBorder="1" applyAlignment="1">
      <alignment horizontal="right" vertical="top"/>
    </xf>
    <xf numFmtId="0" fontId="19" fillId="11" borderId="24" xfId="0" applyFont="1" applyFill="1" applyBorder="1" applyAlignment="1">
      <alignment horizontal="right" vertical="top"/>
    </xf>
    <xf numFmtId="0" fontId="19" fillId="11" borderId="25" xfId="0" applyFont="1" applyFill="1" applyBorder="1" applyAlignment="1">
      <alignment horizontal="right" vertical="top"/>
    </xf>
    <xf numFmtId="0" fontId="19" fillId="11" borderId="26" xfId="0" applyFont="1" applyFill="1" applyBorder="1" applyAlignment="1">
      <alignment horizontal="right" vertical="top"/>
    </xf>
    <xf numFmtId="0" fontId="0" fillId="0" borderId="19"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26" xfId="0" applyBorder="1" applyAlignment="1">
      <alignment horizontal="left" vertical="center" wrapText="1"/>
    </xf>
    <xf numFmtId="0" fontId="0" fillId="0" borderId="19" xfId="0" applyBorder="1" applyAlignment="1">
      <alignment horizontal="center" wrapText="1"/>
    </xf>
    <xf numFmtId="0" fontId="0" fillId="0" borderId="20" xfId="0" applyBorder="1"/>
    <xf numFmtId="0" fontId="0" fillId="0" borderId="22" xfId="0" applyBorder="1"/>
    <xf numFmtId="0" fontId="0" fillId="0" borderId="0" xfId="0"/>
    <xf numFmtId="0" fontId="0" fillId="0" borderId="24" xfId="0" applyBorder="1"/>
    <xf numFmtId="0" fontId="0" fillId="0" borderId="25" xfId="0" applyBorder="1"/>
    <xf numFmtId="0" fontId="21" fillId="3" borderId="20" xfId="0" applyFont="1" applyFill="1" applyBorder="1" applyAlignment="1">
      <alignment vertical="top" wrapText="1"/>
    </xf>
    <xf numFmtId="0" fontId="21" fillId="3" borderId="20" xfId="0" applyFont="1" applyFill="1" applyBorder="1" applyAlignment="1">
      <alignment vertical="top"/>
    </xf>
    <xf numFmtId="0" fontId="21" fillId="3" borderId="21" xfId="0" applyFont="1" applyFill="1" applyBorder="1" applyAlignment="1">
      <alignment vertical="top"/>
    </xf>
    <xf numFmtId="0" fontId="21" fillId="3" borderId="0" xfId="0" applyFont="1" applyFill="1" applyAlignment="1">
      <alignment vertical="top"/>
    </xf>
    <xf numFmtId="0" fontId="21" fillId="3" borderId="23" xfId="0" applyFont="1" applyFill="1" applyBorder="1" applyAlignment="1">
      <alignment vertical="top"/>
    </xf>
    <xf numFmtId="0" fontId="21" fillId="3" borderId="25" xfId="0" applyFont="1" applyFill="1" applyBorder="1" applyAlignment="1">
      <alignment vertical="top"/>
    </xf>
    <xf numFmtId="0" fontId="21" fillId="3" borderId="26" xfId="0" applyFont="1" applyFill="1" applyBorder="1" applyAlignment="1">
      <alignment vertical="top"/>
    </xf>
    <xf numFmtId="0" fontId="12" fillId="5" borderId="32" xfId="0" applyFont="1" applyFill="1" applyBorder="1" applyAlignment="1">
      <alignment horizontal="center" vertical="center" wrapText="1"/>
    </xf>
    <xf numFmtId="0" fontId="12" fillId="5" borderId="33" xfId="0" applyFont="1" applyFill="1" applyBorder="1" applyAlignment="1">
      <alignment horizontal="center" vertical="center" wrapText="1"/>
    </xf>
    <xf numFmtId="0" fontId="12" fillId="5" borderId="34"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35"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5" borderId="36" xfId="0" applyFont="1" applyFill="1" applyBorder="1" applyAlignment="1">
      <alignment horizontal="center" vertical="center" wrapText="1"/>
    </xf>
    <xf numFmtId="0" fontId="20" fillId="12" borderId="37" xfId="0" applyFont="1" applyFill="1" applyBorder="1" applyAlignment="1">
      <alignment horizontal="center" vertical="center"/>
    </xf>
    <xf numFmtId="0" fontId="20" fillId="12" borderId="38" xfId="0" applyFont="1" applyFill="1" applyBorder="1" applyAlignment="1">
      <alignment horizontal="center" vertical="center"/>
    </xf>
    <xf numFmtId="0" fontId="20" fillId="12" borderId="39" xfId="0" applyFont="1" applyFill="1" applyBorder="1" applyAlignment="1">
      <alignment horizontal="center" vertical="center"/>
    </xf>
    <xf numFmtId="0" fontId="15" fillId="13" borderId="19" xfId="0" applyFont="1" applyFill="1" applyBorder="1" applyAlignment="1">
      <alignment horizontal="center" vertical="top" wrapText="1"/>
    </xf>
    <xf numFmtId="0" fontId="15" fillId="13" borderId="20" xfId="0" applyFont="1" applyFill="1" applyBorder="1" applyAlignment="1">
      <alignment horizontal="center" vertical="top" wrapText="1"/>
    </xf>
    <xf numFmtId="0" fontId="15" fillId="13" borderId="21" xfId="0" applyFont="1" applyFill="1" applyBorder="1" applyAlignment="1">
      <alignment horizontal="center" vertical="top" wrapText="1"/>
    </xf>
    <xf numFmtId="0" fontId="15" fillId="13" borderId="24" xfId="0" applyFont="1" applyFill="1" applyBorder="1" applyAlignment="1">
      <alignment horizontal="center" vertical="top" wrapText="1"/>
    </xf>
    <xf numFmtId="0" fontId="15" fillId="13" borderId="25" xfId="0" applyFont="1" applyFill="1" applyBorder="1" applyAlignment="1">
      <alignment horizontal="center" vertical="top" wrapText="1"/>
    </xf>
    <xf numFmtId="0" fontId="15" fillId="13" borderId="26" xfId="0" applyFont="1" applyFill="1" applyBorder="1" applyAlignment="1">
      <alignment horizontal="center" vertical="top" wrapText="1"/>
    </xf>
    <xf numFmtId="0" fontId="15" fillId="13" borderId="20" xfId="0" applyFont="1" applyFill="1" applyBorder="1" applyAlignment="1">
      <alignment horizontal="center" vertical="top"/>
    </xf>
    <xf numFmtId="0" fontId="15" fillId="13" borderId="21" xfId="0" applyFont="1" applyFill="1" applyBorder="1" applyAlignment="1">
      <alignment horizontal="center" vertical="top"/>
    </xf>
    <xf numFmtId="0" fontId="15" fillId="13" borderId="24" xfId="0" applyFont="1" applyFill="1" applyBorder="1" applyAlignment="1">
      <alignment horizontal="center" vertical="top"/>
    </xf>
    <xf numFmtId="0" fontId="15" fillId="13" borderId="25" xfId="0" applyFont="1" applyFill="1" applyBorder="1" applyAlignment="1">
      <alignment horizontal="center" vertical="top"/>
    </xf>
    <xf numFmtId="0" fontId="15" fillId="13" borderId="26" xfId="0" applyFont="1" applyFill="1" applyBorder="1" applyAlignment="1">
      <alignment horizontal="center" vertical="top"/>
    </xf>
    <xf numFmtId="0" fontId="12" fillId="13" borderId="22" xfId="0" applyFont="1" applyFill="1" applyBorder="1" applyAlignment="1">
      <alignment horizontal="center" vertical="top" wrapText="1"/>
    </xf>
    <xf numFmtId="0" fontId="12" fillId="13" borderId="20" xfId="0" applyFont="1" applyFill="1" applyBorder="1" applyAlignment="1">
      <alignment horizontal="center" vertical="top" wrapText="1"/>
    </xf>
    <xf numFmtId="0" fontId="12" fillId="13" borderId="21" xfId="0" applyFont="1" applyFill="1" applyBorder="1" applyAlignment="1">
      <alignment horizontal="center" vertical="top" wrapText="1"/>
    </xf>
    <xf numFmtId="0" fontId="12" fillId="13" borderId="24" xfId="0" applyFont="1" applyFill="1" applyBorder="1" applyAlignment="1">
      <alignment horizontal="center" vertical="top" wrapText="1"/>
    </xf>
    <xf numFmtId="0" fontId="12" fillId="13" borderId="25" xfId="0" applyFont="1" applyFill="1" applyBorder="1" applyAlignment="1">
      <alignment horizontal="center" vertical="top" wrapText="1"/>
    </xf>
    <xf numFmtId="0" fontId="12" fillId="13" borderId="26" xfId="0" applyFont="1" applyFill="1" applyBorder="1" applyAlignment="1">
      <alignment horizontal="center" vertical="top" wrapText="1"/>
    </xf>
    <xf numFmtId="0" fontId="12" fillId="13" borderId="19" xfId="0" applyFont="1" applyFill="1" applyBorder="1" applyAlignment="1">
      <alignment horizontal="center" vertical="top" wrapText="1"/>
    </xf>
    <xf numFmtId="0" fontId="19" fillId="3" borderId="40" xfId="0" applyFont="1" applyFill="1" applyBorder="1" applyAlignment="1">
      <alignment horizontal="center" vertical="center" textRotation="90"/>
    </xf>
    <xf numFmtId="0" fontId="19" fillId="3" borderId="41" xfId="0" applyFont="1" applyFill="1" applyBorder="1" applyAlignment="1">
      <alignment horizontal="center" vertical="center" textRotation="90"/>
    </xf>
    <xf numFmtId="0" fontId="19" fillId="3" borderId="42" xfId="0" applyFont="1" applyFill="1" applyBorder="1" applyAlignment="1">
      <alignment horizontal="center" vertical="top"/>
    </xf>
    <xf numFmtId="0" fontId="19" fillId="3" borderId="41" xfId="0" applyFont="1" applyFill="1" applyBorder="1" applyAlignment="1">
      <alignment horizontal="center" vertical="top"/>
    </xf>
    <xf numFmtId="0" fontId="19" fillId="14" borderId="19" xfId="0" applyFont="1" applyFill="1" applyBorder="1" applyAlignment="1">
      <alignment horizontal="center" vertical="center" wrapText="1"/>
    </xf>
    <xf numFmtId="0" fontId="19" fillId="14" borderId="21" xfId="0" applyFont="1" applyFill="1" applyBorder="1" applyAlignment="1">
      <alignment horizontal="center" vertical="center" wrapText="1"/>
    </xf>
    <xf numFmtId="0" fontId="19" fillId="14" borderId="24" xfId="0" applyFont="1" applyFill="1" applyBorder="1" applyAlignment="1">
      <alignment horizontal="center" vertical="center" wrapText="1"/>
    </xf>
    <xf numFmtId="0" fontId="19" fillId="14" borderId="26" xfId="0" applyFont="1" applyFill="1" applyBorder="1" applyAlignment="1">
      <alignment horizontal="center" vertical="center" wrapText="1"/>
    </xf>
    <xf numFmtId="0" fontId="19" fillId="0" borderId="22" xfId="0" applyFont="1" applyBorder="1" applyAlignment="1">
      <alignment horizontal="center" vertical="top" wrapText="1"/>
    </xf>
    <xf numFmtId="0" fontId="19" fillId="0" borderId="0" xfId="0" applyFont="1" applyAlignment="1">
      <alignment horizontal="center" vertical="top" wrapText="1"/>
    </xf>
    <xf numFmtId="0" fontId="19" fillId="0" borderId="23" xfId="0" applyFont="1" applyBorder="1" applyAlignment="1">
      <alignment horizontal="center" vertical="top" wrapText="1"/>
    </xf>
    <xf numFmtId="0" fontId="19" fillId="0" borderId="24" xfId="0" applyFont="1" applyBorder="1" applyAlignment="1">
      <alignment horizontal="center" vertical="top" wrapText="1"/>
    </xf>
    <xf numFmtId="0" fontId="19" fillId="0" borderId="25" xfId="0" applyFont="1" applyBorder="1" applyAlignment="1">
      <alignment horizontal="center" vertical="top" wrapText="1"/>
    </xf>
    <xf numFmtId="0" fontId="19" fillId="0" borderId="26" xfId="0" applyFont="1" applyBorder="1" applyAlignment="1">
      <alignment horizontal="center" vertical="top" wrapText="1"/>
    </xf>
    <xf numFmtId="0" fontId="19" fillId="0" borderId="40" xfId="0" applyFont="1" applyBorder="1" applyAlignment="1">
      <alignment horizontal="center" vertical="top" wrapText="1"/>
    </xf>
    <xf numFmtId="0" fontId="19" fillId="0" borderId="41" xfId="0" applyFont="1" applyBorder="1" applyAlignment="1">
      <alignment horizontal="center" vertical="top" wrapText="1"/>
    </xf>
    <xf numFmtId="0" fontId="19" fillId="11" borderId="27" xfId="0" applyFont="1" applyFill="1" applyBorder="1" applyAlignment="1">
      <alignment horizontal="center" vertical="center"/>
    </xf>
    <xf numFmtId="0" fontId="19" fillId="11" borderId="43" xfId="0" applyFont="1" applyFill="1" applyBorder="1" applyAlignment="1">
      <alignment horizontal="center" vertical="center"/>
    </xf>
    <xf numFmtId="0" fontId="19" fillId="11" borderId="28" xfId="0" applyFont="1" applyFill="1" applyBorder="1" applyAlignment="1">
      <alignment horizontal="center" vertical="center"/>
    </xf>
    <xf numFmtId="0" fontId="19" fillId="0" borderId="27" xfId="0" applyFont="1" applyBorder="1" applyAlignment="1">
      <alignment horizontal="left" vertical="center" wrapText="1"/>
    </xf>
    <xf numFmtId="0" fontId="19" fillId="0" borderId="43" xfId="0" applyFont="1" applyBorder="1" applyAlignment="1">
      <alignment horizontal="left" vertical="center" wrapText="1"/>
    </xf>
    <xf numFmtId="0" fontId="19" fillId="0" borderId="28" xfId="0" applyFont="1" applyBorder="1" applyAlignment="1">
      <alignment horizontal="left" vertical="center" wrapText="1"/>
    </xf>
    <xf numFmtId="0" fontId="23" fillId="0" borderId="22" xfId="0" applyFont="1" applyBorder="1" applyAlignment="1">
      <alignment horizontal="center" vertical="top" wrapText="1"/>
    </xf>
    <xf numFmtId="0" fontId="23" fillId="0" borderId="0" xfId="0" applyFont="1" applyAlignment="1">
      <alignment horizontal="center" vertical="top" wrapText="1"/>
    </xf>
    <xf numFmtId="0" fontId="23" fillId="0" borderId="23" xfId="0" applyFont="1" applyBorder="1" applyAlignment="1">
      <alignment horizontal="center" vertical="top" wrapText="1"/>
    </xf>
    <xf numFmtId="0" fontId="23" fillId="0" borderId="24" xfId="0" applyFont="1" applyBorder="1" applyAlignment="1">
      <alignment horizontal="center" vertical="top" wrapText="1"/>
    </xf>
    <xf numFmtId="0" fontId="23" fillId="0" borderId="25" xfId="0" applyFont="1" applyBorder="1" applyAlignment="1">
      <alignment horizontal="center" vertical="top" wrapText="1"/>
    </xf>
    <xf numFmtId="0" fontId="23" fillId="0" borderId="26" xfId="0" applyFont="1" applyBorder="1" applyAlignment="1">
      <alignment horizontal="center" vertical="top" wrapText="1"/>
    </xf>
    <xf numFmtId="0" fontId="8" fillId="4" borderId="19" xfId="0" applyFont="1" applyFill="1" applyBorder="1" applyAlignment="1">
      <alignment horizontal="left" vertical="center" wrapText="1"/>
    </xf>
    <xf numFmtId="0" fontId="8" fillId="4" borderId="20" xfId="0" applyFont="1" applyFill="1" applyBorder="1" applyAlignment="1">
      <alignment horizontal="left" vertical="center" wrapText="1"/>
    </xf>
    <xf numFmtId="0" fontId="8" fillId="4" borderId="24" xfId="0" applyFont="1" applyFill="1" applyBorder="1" applyAlignment="1">
      <alignment horizontal="left" vertical="center" wrapText="1"/>
    </xf>
    <xf numFmtId="0" fontId="8" fillId="4" borderId="25" xfId="0" applyFont="1" applyFill="1" applyBorder="1" applyAlignment="1">
      <alignment horizontal="left" vertical="center" wrapText="1"/>
    </xf>
    <xf numFmtId="0" fontId="8" fillId="0" borderId="41" xfId="0" applyFont="1" applyBorder="1" applyAlignment="1">
      <alignment horizontal="center" vertical="top" wrapText="1"/>
    </xf>
    <xf numFmtId="0" fontId="24" fillId="11" borderId="44" xfId="0" applyFont="1" applyFill="1" applyBorder="1" applyAlignment="1">
      <alignment horizontal="center" vertical="center" wrapText="1"/>
    </xf>
    <xf numFmtId="0" fontId="24" fillId="0" borderId="35" xfId="0" applyFont="1" applyBorder="1" applyAlignment="1">
      <alignment horizontal="center" vertical="center" wrapText="1"/>
    </xf>
    <xf numFmtId="0" fontId="24" fillId="11" borderId="45" xfId="0" applyFont="1" applyFill="1" applyBorder="1" applyAlignment="1">
      <alignment horizontal="center" vertical="center"/>
    </xf>
    <xf numFmtId="0" fontId="24" fillId="0" borderId="36" xfId="0" applyFont="1" applyBorder="1" applyAlignment="1">
      <alignment horizontal="center" vertical="center"/>
    </xf>
    <xf numFmtId="0" fontId="19" fillId="15" borderId="42" xfId="0" applyFont="1" applyFill="1" applyBorder="1" applyAlignment="1">
      <alignment horizontal="center" vertical="center" textRotation="90"/>
    </xf>
    <xf numFmtId="0" fontId="19" fillId="15" borderId="40" xfId="0" applyFont="1" applyFill="1" applyBorder="1" applyAlignment="1">
      <alignment horizontal="center" vertical="center" textRotation="90"/>
    </xf>
    <xf numFmtId="0" fontId="19" fillId="15" borderId="41" xfId="0" applyFont="1" applyFill="1" applyBorder="1" applyAlignment="1">
      <alignment horizontal="center" vertical="center" textRotation="90"/>
    </xf>
    <xf numFmtId="0" fontId="19" fillId="0" borderId="0" xfId="0" applyFont="1" applyAlignment="1">
      <alignment horizontal="center" vertical="top"/>
    </xf>
    <xf numFmtId="0" fontId="19" fillId="0" borderId="23" xfId="0" applyFont="1" applyBorder="1" applyAlignment="1">
      <alignment horizontal="center" vertical="top"/>
    </xf>
    <xf numFmtId="0" fontId="19" fillId="0" borderId="24" xfId="0" applyFont="1" applyBorder="1" applyAlignment="1">
      <alignment horizontal="center" vertical="top"/>
    </xf>
    <xf numFmtId="0" fontId="19" fillId="0" borderId="25" xfId="0" applyFont="1" applyBorder="1" applyAlignment="1">
      <alignment horizontal="center" vertical="top"/>
    </xf>
    <xf numFmtId="0" fontId="19" fillId="0" borderId="26" xfId="0" applyFont="1" applyBorder="1" applyAlignment="1">
      <alignment horizontal="center" vertical="top"/>
    </xf>
    <xf numFmtId="0" fontId="35" fillId="3" borderId="15" xfId="0" applyFont="1" applyFill="1" applyBorder="1" applyAlignment="1">
      <alignment horizontal="left" vertical="center"/>
    </xf>
    <xf numFmtId="0" fontId="35" fillId="3" borderId="16" xfId="0" applyFont="1" applyFill="1" applyBorder="1" applyAlignment="1">
      <alignment horizontal="left" vertical="center"/>
    </xf>
    <xf numFmtId="0" fontId="35" fillId="3" borderId="17" xfId="0" applyFont="1" applyFill="1" applyBorder="1" applyAlignment="1">
      <alignment horizontal="left" vertical="center"/>
    </xf>
    <xf numFmtId="0" fontId="35" fillId="3" borderId="1" xfId="0" applyFont="1" applyFill="1" applyBorder="1" applyAlignment="1">
      <alignment horizontal="left" vertical="center"/>
    </xf>
    <xf numFmtId="0" fontId="35" fillId="3" borderId="2" xfId="0" applyFont="1" applyFill="1" applyBorder="1" applyAlignment="1">
      <alignment horizontal="left" vertical="center"/>
    </xf>
    <xf numFmtId="14" fontId="35" fillId="3" borderId="2" xfId="0" applyNumberFormat="1" applyFont="1" applyFill="1" applyBorder="1" applyAlignment="1">
      <alignment horizontal="left" vertical="center"/>
    </xf>
    <xf numFmtId="0" fontId="35" fillId="3" borderId="3" xfId="0" applyFont="1" applyFill="1" applyBorder="1" applyAlignment="1">
      <alignment horizontal="left" vertical="center"/>
    </xf>
    <xf numFmtId="0" fontId="35" fillId="3" borderId="4" xfId="0" applyFont="1" applyFill="1" applyBorder="1" applyAlignment="1">
      <alignment horizontal="left" vertical="center"/>
    </xf>
    <xf numFmtId="0" fontId="35" fillId="3" borderId="5" xfId="0" applyFont="1" applyFill="1" applyBorder="1" applyAlignment="1">
      <alignment horizontal="left" vertical="center"/>
    </xf>
    <xf numFmtId="0" fontId="35" fillId="3" borderId="6" xfId="0" applyFont="1" applyFill="1" applyBorder="1" applyAlignment="1">
      <alignment horizontal="left" vertical="center"/>
    </xf>
  </cellXfs>
  <cellStyles count="10">
    <cellStyle name="Normal" xfId="0" builtinId="0"/>
    <cellStyle name="Percent" xfId="15" builtinId="5"/>
    <cellStyle name="Currency" xfId="16" builtinId="4"/>
    <cellStyle name="Currency [0]" xfId="17" builtinId="7"/>
    <cellStyle name="Comma" xfId="18" builtinId="3"/>
    <cellStyle name="Comma [0]" xfId="19" builtinId="6"/>
    <cellStyle name="Excel Built-in Normal" xfId="20"/>
    <cellStyle name="Normal 2" xfId="21"/>
    <cellStyle name="Normal_b-tehlike ve risk değerlendirme formu (kimyasallar)" xfId="22"/>
    <cellStyle name="Normal 3" xfId="2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ctrProps/ctrProp1.xml><?xml version="1.0" encoding="utf-8"?>
<formControlPr xmlns="http://schemas.microsoft.com/office/spreadsheetml/2009/9/main" objectType="CheckBox" lockText="1" noThreeD="1"/>
</file>

<file path=xl/ctrProps/ctrProp2.xml><?xml version="1.0" encoding="utf-8"?>
<formControlPr xmlns="http://schemas.microsoft.com/office/spreadsheetml/2009/9/main" objectType="CheckBox" lockText="1" noThreeD="1"/>
</file>

<file path=xl/ctrProps/ctrProp3.xml><?xml version="1.0" encoding="utf-8"?>
<formControlPr xmlns="http://schemas.microsoft.com/office/spreadsheetml/2009/9/main" objectType="CheckBox" lockText="1" noThreeD="1"/>
</file>

<file path=xl/ctrProps/ctrProp4.xml><?xml version="1.0" encoding="utf-8"?>
<formControlPr xmlns="http://schemas.microsoft.com/office/spreadsheetml/2009/9/main" objectType="CheckBox" lockText="1" noThreeD="1"/>
</file>

<file path=xl/ctrProps/ctrProp5.xml><?xml version="1.0" encoding="utf-8"?>
<formControlPr xmlns="http://schemas.microsoft.com/office/spreadsheetml/2009/9/main" objectType="CheckBox" lockText="1" noThreeD="1"/>
</file>

<file path=xl/ctrProps/ctrProp6.xml><?xml version="1.0" encoding="utf-8"?>
<formControlPr xmlns="http://schemas.microsoft.com/office/spreadsheetml/2009/9/main" objectType="CheckBox" lockText="1" noThreeD="1"/>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9</xdr:col>
          <xdr:colOff>121920</xdr:colOff>
          <xdr:row>8</xdr:row>
          <xdr:rowOff>365760</xdr:rowOff>
        </xdr:from>
        <xdr:to>
          <xdr:col>9</xdr:col>
          <xdr:colOff>670560</xdr:colOff>
          <xdr:row>10</xdr:row>
          <xdr:rowOff>0</xdr:rowOff>
        </xdr:to>
        <xdr:sp fLocksText="0">
          <xdr:nvSpPr>
            <xdr:cNvPr id="1026" name="Check Box 2" hidden="1">
              <a:extLst>
                <a:ext uri="{63B3BB69-23CF-44E3-9099-C40C66FF867C}">
                  <a14:compatExt spid="_x0000_s1026"/>
                </a:ext>
              </a:extLst>
            </xdr:cNvPr>
            <xdr:cNvSpPr>
              <a:spLocks noRot="1"/>
            </xdr:cNvSpPr>
          </xdr:nvSpPr>
          <xdr:spPr>
            <a:xfrm>
              <a:off x="14277975" y="3419475"/>
              <a:ext cx="552450" cy="390525"/>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9</xdr:row>
          <xdr:rowOff>251460</xdr:rowOff>
        </xdr:from>
        <xdr:to>
          <xdr:col>9</xdr:col>
          <xdr:colOff>678180</xdr:colOff>
          <xdr:row>10</xdr:row>
          <xdr:rowOff>327660</xdr:rowOff>
        </xdr:to>
        <xdr:sp fLocksText="0">
          <xdr:nvSpPr>
            <xdr:cNvPr id="1027" name="Check Box 3" hidden="1">
              <a:extLst>
                <a:ext uri="{63B3BB69-23CF-44E3-9099-C40C66FF867C}">
                  <a14:compatExt spid="_x0000_s1027"/>
                </a:ext>
              </a:extLst>
            </xdr:cNvPr>
            <xdr:cNvSpPr>
              <a:spLocks noRot="1"/>
            </xdr:cNvSpPr>
          </xdr:nvSpPr>
          <xdr:spPr>
            <a:xfrm>
              <a:off x="14287500" y="3705225"/>
              <a:ext cx="542925" cy="428625"/>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137160</xdr:colOff>
          <xdr:row>8</xdr:row>
          <xdr:rowOff>381000</xdr:rowOff>
        </xdr:from>
        <xdr:to>
          <xdr:col>11</xdr:col>
          <xdr:colOff>655320</xdr:colOff>
          <xdr:row>10</xdr:row>
          <xdr:rowOff>7620</xdr:rowOff>
        </xdr:to>
        <xdr:sp fLocksText="0">
          <xdr:nvSpPr>
            <xdr:cNvPr id="1028" name="Check Box 4" hidden="1">
              <a:extLst>
                <a:ext uri="{63B3BB69-23CF-44E3-9099-C40C66FF867C}">
                  <a14:compatExt spid="_x0000_s1028"/>
                </a:ext>
              </a:extLst>
            </xdr:cNvPr>
            <xdr:cNvSpPr>
              <a:spLocks noRot="1"/>
            </xdr:cNvSpPr>
          </xdr:nvSpPr>
          <xdr:spPr>
            <a:xfrm>
              <a:off x="16068675" y="3438525"/>
              <a:ext cx="514350" cy="381000"/>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106680</xdr:colOff>
          <xdr:row>8</xdr:row>
          <xdr:rowOff>335280</xdr:rowOff>
        </xdr:from>
        <xdr:to>
          <xdr:col>13</xdr:col>
          <xdr:colOff>731520</xdr:colOff>
          <xdr:row>10</xdr:row>
          <xdr:rowOff>22860</xdr:rowOff>
        </xdr:to>
        <xdr:sp fLocksText="0">
          <xdr:nvSpPr>
            <xdr:cNvPr id="1029" name="Check Box 5" hidden="1">
              <a:extLst>
                <a:ext uri="{63B3BB69-23CF-44E3-9099-C40C66FF867C}">
                  <a14:compatExt spid="_x0000_s1029"/>
                </a:ext>
              </a:extLst>
            </xdr:cNvPr>
            <xdr:cNvSpPr>
              <a:spLocks noRot="1"/>
            </xdr:cNvSpPr>
          </xdr:nvSpPr>
          <xdr:spPr>
            <a:xfrm>
              <a:off x="18430875" y="3390900"/>
              <a:ext cx="628650" cy="438150"/>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137160</xdr:colOff>
          <xdr:row>10</xdr:row>
          <xdr:rowOff>0</xdr:rowOff>
        </xdr:from>
        <xdr:to>
          <xdr:col>11</xdr:col>
          <xdr:colOff>723900</xdr:colOff>
          <xdr:row>11</xdr:row>
          <xdr:rowOff>0</xdr:rowOff>
        </xdr:to>
        <xdr:sp fLocksText="0">
          <xdr:nvSpPr>
            <xdr:cNvPr id="1030" name="Check Box 6" hidden="1">
              <a:extLst>
                <a:ext uri="{63B3BB69-23CF-44E3-9099-C40C66FF867C}">
                  <a14:compatExt spid="_x0000_s1030"/>
                </a:ext>
              </a:extLst>
            </xdr:cNvPr>
            <xdr:cNvSpPr>
              <a:spLocks noRot="1"/>
            </xdr:cNvSpPr>
          </xdr:nvSpPr>
          <xdr:spPr>
            <a:xfrm>
              <a:off x="16068675" y="3810000"/>
              <a:ext cx="590550" cy="371475"/>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144780</xdr:colOff>
          <xdr:row>10</xdr:row>
          <xdr:rowOff>0</xdr:rowOff>
        </xdr:from>
        <xdr:to>
          <xdr:col>13</xdr:col>
          <xdr:colOff>830580</xdr:colOff>
          <xdr:row>10</xdr:row>
          <xdr:rowOff>342900</xdr:rowOff>
        </xdr:to>
        <xdr:sp fLocksText="0">
          <xdr:nvSpPr>
            <xdr:cNvPr id="1031" name="Check Box 7" hidden="1">
              <a:extLst>
                <a:ext uri="{63B3BB69-23CF-44E3-9099-C40C66FF867C}">
                  <a14:compatExt spid="_x0000_s1031"/>
                </a:ext>
              </a:extLst>
            </xdr:cNvPr>
            <xdr:cNvSpPr>
              <a:spLocks noRot="1"/>
            </xdr:cNvSpPr>
          </xdr:nvSpPr>
          <xdr:spPr>
            <a:xfrm>
              <a:off x="18468975" y="3810000"/>
              <a:ext cx="685800" cy="342900"/>
            </a:xfrm>
            <a:custGeom>
              <a:pathLst>
                <a:path h="21600" w="21600">
                  <a:moveTo>
                    <a:pt x="0" y="0"/>
                  </a:moveTo>
                  <a:lnTo>
                    <a:pt x="0" y="21600"/>
                  </a:lnTo>
                  <a:lnTo>
                    <a:pt x="21600" y="0"/>
                  </a:lnTo>
                  <a:close/>
                </a:path>
              </a:pathLst>
            </a:custGeom>
            <a:noFill/>
            <a:ln>
              <a:noFill/>
            </a:ln>
          </xdr:spPr>
          <xdr:txBody>
            <a:bodyPr lIns="91440" tIns="45720" rIns="91440" bIns="45720" vertOverflow="clip" anchor="ctr" upright="1"/>
            <a:p>
              <a:pPr>
                <a:defRPr lang="en-US" u="none" baseline="0"/>
              </a:pPr>
            </a:p>
          </xdr:txBody>
        </xdr:sp>
        <xdr:clientData/>
      </xdr:twoCellAnchor>
    </mc:Choice>
    <mc:Fallback/>
  </mc:AlternateContent>
  <xdr:twoCellAnchor>
    <xdr:from>
      <xdr:col>1</xdr:col>
      <xdr:colOff>410818</xdr:colOff>
      <xdr:row>0</xdr:row>
      <xdr:rowOff>60910</xdr:rowOff>
    </xdr:from>
    <xdr:to>
      <xdr:col>3</xdr:col>
      <xdr:colOff>1663148</xdr:colOff>
      <xdr:row>2</xdr:row>
      <xdr:rowOff>303067</xdr:rowOff>
    </xdr:to>
    <xdr:pic>
      <xdr:nvPicPr>
        <xdr:cNvPr id="8" name="Resim 7" descr="C:\Users\Lazzoni-12\AppData\Local\Microsoft\Windows\INetCache\Content.Outlook\52EZL5P4\Lazzoni_yeni logo.jpg"/>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bwMode="auto">
        <a:xfrm>
          <a:off x="504825" y="57150"/>
          <a:ext cx="3838575" cy="10001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trlProp" Target="../ctrProps/ctrProp3.xml" /><Relationship Id="rId4" Type="http://schemas.openxmlformats.org/officeDocument/2006/relationships/ctrlProp" Target="../ctrProps/ctrProp4.xml" /><Relationship Id="rId2" Type="http://schemas.openxmlformats.org/officeDocument/2006/relationships/ctrlProp" Target="../ctrProps/ctrProp2.xml" /><Relationship Id="rId9" Type="http://schemas.openxmlformats.org/officeDocument/2006/relationships/printerSettings" Target="../printerSettings/printerSettings1.bin" /><Relationship Id="rId1" Type="http://schemas.openxmlformats.org/officeDocument/2006/relationships/ctrlProp" Target="../ctrProps/ctrProp1.xml" /><Relationship Id="rId8" Type="http://schemas.openxmlformats.org/officeDocument/2006/relationships/vmlDrawing" Target="../drawings/vmlDrawing1.vml" /><Relationship Id="rId6" Type="http://schemas.openxmlformats.org/officeDocument/2006/relationships/ctrlProp" Target="../ctrProps/ctrProp6.xml" /><Relationship Id="rId7" Type="http://schemas.openxmlformats.org/officeDocument/2006/relationships/drawing" Target="../drawings/drawing1.xml" /><Relationship Id="rId5" Type="http://schemas.openxmlformats.org/officeDocument/2006/relationships/ctrlProp" Target="../ctrProps/ctrProp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cae907-3a50-4e84-af64-b618d437cdf4}">
  <sheetPr>
    <tabColor rgb="FFFFFF00"/>
    <pageSetUpPr fitToPage="1"/>
  </sheetPr>
  <dimension ref="A1:Y170"/>
  <sheetViews>
    <sheetView tabSelected="1" view="pageBreakPreview" zoomScale="40" zoomScaleNormal="70" zoomScaleSheetLayoutView="40" workbookViewId="0" topLeftCell="E1">
      <selection pane="topLeft" activeCell="O18" sqref="O18"/>
    </sheetView>
  </sheetViews>
  <sheetFormatPr defaultRowHeight="15.6"/>
  <cols>
    <col min="1" max="1" width="1.42857142857143" style="10" customWidth="1"/>
    <col min="2" max="2" width="9.71428571428571" style="4" customWidth="1"/>
    <col min="3" max="3" width="29.1428571428571" style="5" customWidth="1"/>
    <col min="4" max="4" width="52" style="7" customWidth="1"/>
    <col min="5" max="5" width="39.4285714285714" style="7" customWidth="1"/>
    <col min="6" max="6" width="23.7142857142857" style="7" customWidth="1"/>
    <col min="7" max="7" width="26" style="7" customWidth="1"/>
    <col min="8" max="8" width="16.4285714285714" style="4" customWidth="1"/>
    <col min="9" max="9" width="14.4285714285714" style="4" customWidth="1"/>
    <col min="10" max="10" width="16.1428571428571" style="4" customWidth="1"/>
    <col min="11" max="11" width="10.5714285714286" style="4" customWidth="1"/>
    <col min="12" max="12" width="17.1428571428571" style="6" customWidth="1"/>
    <col min="13" max="13" width="18.7142857142857" style="6" customWidth="1"/>
    <col min="14" max="14" width="49.1428571428571" style="1" customWidth="1"/>
    <col min="15" max="15" width="61.1428571428571" style="1" customWidth="1"/>
    <col min="16" max="16" width="51.5714285714286" style="1" customWidth="1"/>
    <col min="17" max="17" width="34.1428571428571" style="1" customWidth="1"/>
    <col min="18" max="18" width="24.4285714285714" style="1" customWidth="1"/>
    <col min="19" max="19" width="28.1428571428571" style="1" customWidth="1"/>
    <col min="20" max="20" width="15.1428571428571" style="1" customWidth="1"/>
    <col min="21" max="21" width="15.2857142857143" style="1" customWidth="1"/>
    <col min="22" max="22" width="14.5714285714286" style="2" customWidth="1"/>
    <col min="23" max="23" width="11.4285714285714" style="2" customWidth="1"/>
    <col min="24" max="24" width="16.8571428571429" style="3" customWidth="1"/>
    <col min="25" max="25" width="16" style="3" customWidth="1"/>
    <col min="26" max="26" width="22.5714285714286" customWidth="1"/>
  </cols>
  <sheetData>
    <row r="1" spans="1:25" s="16" customFormat="1" ht="30" customHeight="1">
      <c r="A1" s="10"/>
      <c r="B1" s="111"/>
      <c r="C1" s="112"/>
      <c r="D1" s="113"/>
      <c r="E1" s="102" t="s">
        <v>714</v>
      </c>
      <c r="F1" s="103"/>
      <c r="G1" s="103"/>
      <c r="H1" s="103"/>
      <c r="I1" s="103"/>
      <c r="J1" s="103"/>
      <c r="K1" s="103"/>
      <c r="L1" s="103"/>
      <c r="M1" s="103"/>
      <c r="N1" s="103"/>
      <c r="O1" s="103"/>
      <c r="P1" s="103"/>
      <c r="Q1" s="103"/>
      <c r="R1" s="103"/>
      <c r="S1" s="104"/>
      <c r="T1" s="261" t="s">
        <v>709</v>
      </c>
      <c r="U1" s="262"/>
      <c r="V1" s="262"/>
      <c r="W1" s="262" t="s">
        <v>712</v>
      </c>
      <c r="X1" s="262"/>
      <c r="Y1" s="263"/>
    </row>
    <row r="2" spans="1:25" s="16" customFormat="1" ht="30" customHeight="1">
      <c r="A2" s="10"/>
      <c r="B2" s="114"/>
      <c r="C2" s="115"/>
      <c r="D2" s="116"/>
      <c r="E2" s="105"/>
      <c r="F2" s="106"/>
      <c r="G2" s="106"/>
      <c r="H2" s="106"/>
      <c r="I2" s="106"/>
      <c r="J2" s="106"/>
      <c r="K2" s="106"/>
      <c r="L2" s="106"/>
      <c r="M2" s="106"/>
      <c r="N2" s="106"/>
      <c r="O2" s="106"/>
      <c r="P2" s="106"/>
      <c r="Q2" s="106"/>
      <c r="R2" s="106"/>
      <c r="S2" s="107"/>
      <c r="T2" s="264" t="s">
        <v>710</v>
      </c>
      <c r="U2" s="265"/>
      <c r="V2" s="265"/>
      <c r="W2" s="266">
        <v>44410</v>
      </c>
      <c r="X2" s="265"/>
      <c r="Y2" s="267"/>
    </row>
    <row r="3" spans="1:25" s="16" customFormat="1" ht="30" customHeight="1" thickBot="1">
      <c r="A3" s="10"/>
      <c r="B3" s="117"/>
      <c r="C3" s="118"/>
      <c r="D3" s="119"/>
      <c r="E3" s="108"/>
      <c r="F3" s="109"/>
      <c r="G3" s="109"/>
      <c r="H3" s="109"/>
      <c r="I3" s="109"/>
      <c r="J3" s="109"/>
      <c r="K3" s="109"/>
      <c r="L3" s="109"/>
      <c r="M3" s="109"/>
      <c r="N3" s="109"/>
      <c r="O3" s="109"/>
      <c r="P3" s="109"/>
      <c r="Q3" s="109"/>
      <c r="R3" s="109"/>
      <c r="S3" s="110"/>
      <c r="T3" s="268" t="s">
        <v>711</v>
      </c>
      <c r="U3" s="269"/>
      <c r="V3" s="269"/>
      <c r="W3" s="269" t="s">
        <v>713</v>
      </c>
      <c r="X3" s="269"/>
      <c r="Y3" s="270"/>
    </row>
    <row r="4" spans="1:25" s="16" customFormat="1" ht="16.2" thickBot="1">
      <c r="A4" s="10"/>
      <c r="B4" s="11"/>
      <c r="C4" s="9"/>
      <c r="D4" s="12"/>
      <c r="E4" s="12"/>
      <c r="F4" s="12"/>
      <c r="G4" s="12"/>
      <c r="H4" s="11"/>
      <c r="I4" s="11"/>
      <c r="J4" s="11"/>
      <c r="K4" s="11"/>
      <c r="L4" s="13"/>
      <c r="M4" s="13"/>
      <c r="N4" s="10"/>
      <c r="O4" s="10"/>
      <c r="P4" s="10"/>
      <c r="Q4" s="10"/>
      <c r="R4" s="10"/>
      <c r="S4" s="10"/>
      <c r="T4" s="10"/>
      <c r="U4" s="10"/>
      <c r="V4" s="14"/>
      <c r="W4" s="14"/>
      <c r="X4" s="15"/>
      <c r="Y4" s="15"/>
    </row>
    <row r="5" spans="2:25" ht="30.75" customHeight="1" thickBot="1">
      <c r="B5" s="169"/>
      <c r="C5" s="170"/>
      <c r="D5" s="232" t="s">
        <v>31</v>
      </c>
      <c r="E5" s="233"/>
      <c r="F5" s="233"/>
      <c r="G5" s="233"/>
      <c r="H5" s="233"/>
      <c r="I5" s="233"/>
      <c r="J5" s="233"/>
      <c r="K5" s="233"/>
      <c r="L5" s="233"/>
      <c r="M5" s="233"/>
      <c r="N5" s="233"/>
      <c r="O5" s="234"/>
      <c r="P5" s="220" t="s">
        <v>33</v>
      </c>
      <c r="Q5" s="221"/>
      <c r="R5" s="195" t="s">
        <v>44</v>
      </c>
      <c r="S5" s="196"/>
      <c r="T5" s="196"/>
      <c r="U5" s="196"/>
      <c r="V5" s="197"/>
      <c r="W5" s="149"/>
      <c r="X5" s="150"/>
      <c r="Y5" s="151"/>
    </row>
    <row r="6" spans="2:25" ht="61.5" customHeight="1" thickBot="1">
      <c r="B6" s="171"/>
      <c r="C6" s="172"/>
      <c r="D6" s="235" t="s">
        <v>706</v>
      </c>
      <c r="E6" s="236"/>
      <c r="F6" s="236"/>
      <c r="G6" s="236"/>
      <c r="H6" s="236"/>
      <c r="I6" s="236"/>
      <c r="J6" s="236"/>
      <c r="K6" s="236"/>
      <c r="L6" s="236"/>
      <c r="M6" s="236"/>
      <c r="N6" s="236"/>
      <c r="O6" s="237"/>
      <c r="P6" s="222"/>
      <c r="Q6" s="223"/>
      <c r="R6" s="65" t="s">
        <v>8</v>
      </c>
      <c r="S6" s="66" t="s">
        <v>9</v>
      </c>
      <c r="T6" s="66" t="s">
        <v>10</v>
      </c>
      <c r="U6" s="66" t="s">
        <v>11</v>
      </c>
      <c r="V6" s="67" t="s">
        <v>12</v>
      </c>
      <c r="W6" s="175"/>
      <c r="X6" s="176"/>
      <c r="Y6" s="177"/>
    </row>
    <row r="7" spans="2:25" ht="21.75" customHeight="1" thickBot="1">
      <c r="B7" s="171"/>
      <c r="C7" s="172"/>
      <c r="D7" s="232" t="s">
        <v>7</v>
      </c>
      <c r="E7" s="233"/>
      <c r="F7" s="233"/>
      <c r="G7" s="233"/>
      <c r="H7" s="233"/>
      <c r="I7" s="233"/>
      <c r="J7" s="233"/>
      <c r="K7" s="233"/>
      <c r="L7" s="233"/>
      <c r="M7" s="233"/>
      <c r="N7" s="233"/>
      <c r="O7" s="234"/>
      <c r="P7" s="253" t="s">
        <v>43</v>
      </c>
      <c r="Q7" s="68" t="s">
        <v>20</v>
      </c>
      <c r="R7" s="69">
        <v>1</v>
      </c>
      <c r="S7" s="70">
        <v>2</v>
      </c>
      <c r="T7" s="70">
        <v>3</v>
      </c>
      <c r="U7" s="70">
        <v>4</v>
      </c>
      <c r="V7" s="71">
        <v>5</v>
      </c>
      <c r="W7" s="178"/>
      <c r="X7" s="178"/>
      <c r="Y7" s="179"/>
    </row>
    <row r="8" spans="2:25" ht="21" customHeight="1">
      <c r="B8" s="171"/>
      <c r="C8" s="172"/>
      <c r="D8" s="230" t="s">
        <v>705</v>
      </c>
      <c r="E8" s="238" t="s">
        <v>693</v>
      </c>
      <c r="F8" s="239"/>
      <c r="G8" s="240"/>
      <c r="H8" s="224" t="s">
        <v>707</v>
      </c>
      <c r="I8" s="256"/>
      <c r="J8" s="257"/>
      <c r="K8" s="224" t="s">
        <v>690</v>
      </c>
      <c r="L8" s="225"/>
      <c r="M8" s="226"/>
      <c r="N8" s="230" t="s">
        <v>42</v>
      </c>
      <c r="O8" s="218"/>
      <c r="P8" s="254"/>
      <c r="Q8" s="72" t="s">
        <v>17</v>
      </c>
      <c r="R8" s="69">
        <v>2</v>
      </c>
      <c r="S8" s="70">
        <v>4</v>
      </c>
      <c r="T8" s="73">
        <v>6</v>
      </c>
      <c r="U8" s="73">
        <v>8</v>
      </c>
      <c r="V8" s="74">
        <v>10</v>
      </c>
      <c r="W8" s="178"/>
      <c r="X8" s="178"/>
      <c r="Y8" s="179"/>
    </row>
    <row r="9" spans="2:25" ht="31.5" customHeight="1" thickBot="1">
      <c r="B9" s="171"/>
      <c r="C9" s="172"/>
      <c r="D9" s="248"/>
      <c r="E9" s="241"/>
      <c r="F9" s="242"/>
      <c r="G9" s="243"/>
      <c r="H9" s="258"/>
      <c r="I9" s="259"/>
      <c r="J9" s="260"/>
      <c r="K9" s="227"/>
      <c r="L9" s="228"/>
      <c r="M9" s="229"/>
      <c r="N9" s="231"/>
      <c r="O9" s="219"/>
      <c r="P9" s="254"/>
      <c r="Q9" s="72" t="s">
        <v>10</v>
      </c>
      <c r="R9" s="69">
        <v>3</v>
      </c>
      <c r="S9" s="73">
        <v>6</v>
      </c>
      <c r="T9" s="73">
        <v>9</v>
      </c>
      <c r="U9" s="75">
        <v>12</v>
      </c>
      <c r="V9" s="74">
        <v>15</v>
      </c>
      <c r="W9" s="178"/>
      <c r="X9" s="178"/>
      <c r="Y9" s="179"/>
    </row>
    <row r="10" spans="2:25" ht="27.75" customHeight="1">
      <c r="B10" s="171"/>
      <c r="C10" s="172"/>
      <c r="D10" s="244"/>
      <c r="E10" s="245"/>
      <c r="F10" s="245"/>
      <c r="G10" s="125"/>
      <c r="H10" s="249" t="s">
        <v>15</v>
      </c>
      <c r="I10" s="250"/>
      <c r="J10" s="76"/>
      <c r="K10" s="77" t="s">
        <v>25</v>
      </c>
      <c r="L10" s="78"/>
      <c r="M10" s="79" t="s">
        <v>16</v>
      </c>
      <c r="N10" s="80"/>
      <c r="O10" s="216"/>
      <c r="P10" s="254"/>
      <c r="Q10" s="72" t="s">
        <v>14</v>
      </c>
      <c r="R10" s="69">
        <v>4</v>
      </c>
      <c r="S10" s="73">
        <v>8</v>
      </c>
      <c r="T10" s="75">
        <v>12</v>
      </c>
      <c r="U10" s="81">
        <v>16</v>
      </c>
      <c r="V10" s="82">
        <v>20</v>
      </c>
      <c r="W10" s="178"/>
      <c r="X10" s="178"/>
      <c r="Y10" s="179"/>
    </row>
    <row r="11" spans="2:25" ht="29.25" customHeight="1" thickBot="1">
      <c r="B11" s="173"/>
      <c r="C11" s="174"/>
      <c r="D11" s="246"/>
      <c r="E11" s="247"/>
      <c r="F11" s="247"/>
      <c r="G11" s="128"/>
      <c r="H11" s="251" t="s">
        <v>18</v>
      </c>
      <c r="I11" s="252"/>
      <c r="J11" s="83"/>
      <c r="K11" s="84" t="s">
        <v>26</v>
      </c>
      <c r="L11" s="83"/>
      <c r="M11" s="84" t="s">
        <v>19</v>
      </c>
      <c r="N11" s="85"/>
      <c r="O11" s="217"/>
      <c r="P11" s="255"/>
      <c r="Q11" s="86" t="s">
        <v>13</v>
      </c>
      <c r="R11" s="87">
        <v>5</v>
      </c>
      <c r="S11" s="88">
        <v>10</v>
      </c>
      <c r="T11" s="88">
        <v>15</v>
      </c>
      <c r="U11" s="89">
        <v>20</v>
      </c>
      <c r="V11" s="90">
        <v>25</v>
      </c>
      <c r="W11" s="180"/>
      <c r="X11" s="180"/>
      <c r="Y11" s="181"/>
    </row>
    <row r="12" spans="2:25" ht="27" customHeight="1" thickBot="1">
      <c r="B12" s="165" t="s">
        <v>695</v>
      </c>
      <c r="C12" s="166"/>
      <c r="D12" s="91" t="s">
        <v>28</v>
      </c>
      <c r="E12" s="131" t="s">
        <v>23</v>
      </c>
      <c r="F12" s="131"/>
      <c r="G12" s="132"/>
      <c r="H12" s="123" t="s">
        <v>30</v>
      </c>
      <c r="I12" s="133"/>
      <c r="J12" s="133"/>
      <c r="K12" s="133"/>
      <c r="L12" s="133"/>
      <c r="M12" s="133"/>
      <c r="N12" s="134"/>
      <c r="O12" s="123" t="s">
        <v>46</v>
      </c>
      <c r="P12" s="124"/>
      <c r="Q12" s="125"/>
      <c r="R12" s="143" t="s">
        <v>47</v>
      </c>
      <c r="S12" s="144"/>
      <c r="T12" s="144"/>
      <c r="U12" s="144"/>
      <c r="V12" s="145"/>
      <c r="W12" s="159"/>
      <c r="X12" s="160"/>
      <c r="Y12" s="161"/>
    </row>
    <row r="13" spans="2:25" ht="42.75" customHeight="1" thickBot="1">
      <c r="B13" s="167"/>
      <c r="C13" s="168"/>
      <c r="D13" s="92">
        <v>44378</v>
      </c>
      <c r="E13" s="129">
        <v>46569</v>
      </c>
      <c r="F13" s="129"/>
      <c r="G13" s="130"/>
      <c r="H13" s="135"/>
      <c r="I13" s="136"/>
      <c r="J13" s="136"/>
      <c r="K13" s="136"/>
      <c r="L13" s="136"/>
      <c r="M13" s="136"/>
      <c r="N13" s="137"/>
      <c r="O13" s="126"/>
      <c r="P13" s="127"/>
      <c r="Q13" s="128"/>
      <c r="R13" s="146"/>
      <c r="S13" s="147"/>
      <c r="T13" s="147"/>
      <c r="U13" s="147"/>
      <c r="V13" s="148"/>
      <c r="W13" s="162"/>
      <c r="X13" s="163"/>
      <c r="Y13" s="164"/>
    </row>
    <row r="14" spans="1:25" ht="49.5" customHeight="1">
      <c r="A14" s="16"/>
      <c r="B14" s="182" t="s">
        <v>0</v>
      </c>
      <c r="C14" s="141" t="s">
        <v>21</v>
      </c>
      <c r="D14" s="138" t="s">
        <v>22</v>
      </c>
      <c r="E14" s="138" t="s">
        <v>1</v>
      </c>
      <c r="F14" s="138" t="s">
        <v>34</v>
      </c>
      <c r="G14" s="142" t="s">
        <v>29</v>
      </c>
      <c r="H14" s="141" t="s">
        <v>40</v>
      </c>
      <c r="I14" s="142"/>
      <c r="J14" s="187" t="s">
        <v>2</v>
      </c>
      <c r="K14" s="188"/>
      <c r="L14" s="188"/>
      <c r="M14" s="189"/>
      <c r="N14" s="192" t="s">
        <v>45</v>
      </c>
      <c r="O14" s="120" t="s">
        <v>3</v>
      </c>
      <c r="P14" s="120" t="s">
        <v>32</v>
      </c>
      <c r="Q14" s="138" t="s">
        <v>24</v>
      </c>
      <c r="R14" s="138" t="s">
        <v>6</v>
      </c>
      <c r="S14" s="156" t="s">
        <v>27</v>
      </c>
      <c r="T14" s="141" t="s">
        <v>39</v>
      </c>
      <c r="U14" s="142"/>
      <c r="V14" s="141" t="s">
        <v>2</v>
      </c>
      <c r="W14" s="138"/>
      <c r="X14" s="138"/>
      <c r="Y14" s="142"/>
    </row>
    <row r="15" spans="1:25" ht="15.75" customHeight="1">
      <c r="A15" s="16"/>
      <c r="B15" s="183"/>
      <c r="C15" s="185"/>
      <c r="D15" s="139"/>
      <c r="E15" s="139"/>
      <c r="F15" s="139"/>
      <c r="G15" s="190" t="s">
        <v>29</v>
      </c>
      <c r="H15" s="152" t="s">
        <v>4</v>
      </c>
      <c r="I15" s="154" t="s">
        <v>5</v>
      </c>
      <c r="J15" s="18">
        <f>COUNTIF(J17:J2464,"&gt;0")</f>
        <v>106</v>
      </c>
      <c r="K15" s="19">
        <f>COUNTIF(K17:K2264,"&gt;0")</f>
        <v>42</v>
      </c>
      <c r="L15" s="20">
        <f>COUNTIF(L17:L2264,"&gt;0")</f>
        <v>4</v>
      </c>
      <c r="M15" s="21">
        <f>COUNTIF(M17:M2264,"&gt;0")</f>
        <v>0</v>
      </c>
      <c r="N15" s="193"/>
      <c r="O15" s="121"/>
      <c r="P15" s="121"/>
      <c r="Q15" s="139"/>
      <c r="R15" s="139"/>
      <c r="S15" s="157"/>
      <c r="T15" s="152" t="s">
        <v>4</v>
      </c>
      <c r="U15" s="154" t="s">
        <v>5</v>
      </c>
      <c r="V15" s="22">
        <f>COUNTIF(V17:V1770,"&gt;0")</f>
        <v>141</v>
      </c>
      <c r="W15" s="23">
        <f>COUNTIF(W17:W1770,"&gt;0")</f>
        <v>9</v>
      </c>
      <c r="X15" s="23">
        <f>COUNTIF(X17:X1770,"&gt;0")</f>
        <v>2</v>
      </c>
      <c r="Y15" s="24">
        <f>COUNTIF(Y17:Y1770,"&gt;0")</f>
        <v>0</v>
      </c>
    </row>
    <row r="16" spans="1:25" ht="83.4" thickBot="1">
      <c r="A16" s="16"/>
      <c r="B16" s="184"/>
      <c r="C16" s="186"/>
      <c r="D16" s="140"/>
      <c r="E16" s="140"/>
      <c r="F16" s="140"/>
      <c r="G16" s="191"/>
      <c r="H16" s="153"/>
      <c r="I16" s="155"/>
      <c r="J16" s="25" t="s">
        <v>35</v>
      </c>
      <c r="K16" s="26" t="s">
        <v>38</v>
      </c>
      <c r="L16" s="27" t="s">
        <v>36</v>
      </c>
      <c r="M16" s="28" t="s">
        <v>37</v>
      </c>
      <c r="N16" s="194"/>
      <c r="O16" s="122"/>
      <c r="P16" s="122"/>
      <c r="Q16" s="140"/>
      <c r="R16" s="140"/>
      <c r="S16" s="158"/>
      <c r="T16" s="153"/>
      <c r="U16" s="155"/>
      <c r="V16" s="29" t="s">
        <v>35</v>
      </c>
      <c r="W16" s="30" t="s">
        <v>38</v>
      </c>
      <c r="X16" s="27" t="s">
        <v>36</v>
      </c>
      <c r="Y16" s="28" t="s">
        <v>37</v>
      </c>
    </row>
    <row r="17" spans="1:25" s="8" customFormat="1" ht="138.6" thickBot="1">
      <c r="A17" s="17"/>
      <c r="B17" s="31">
        <v>1</v>
      </c>
      <c r="C17" s="32" t="s">
        <v>48</v>
      </c>
      <c r="D17" s="33" t="s">
        <v>59</v>
      </c>
      <c r="E17" s="33" t="s">
        <v>60</v>
      </c>
      <c r="F17" s="34" t="s">
        <v>49</v>
      </c>
      <c r="G17" s="33" t="s">
        <v>50</v>
      </c>
      <c r="H17" s="35">
        <v>4</v>
      </c>
      <c r="I17" s="36">
        <v>3</v>
      </c>
      <c r="J17" s="37" t="s">
        <v>51</v>
      </c>
      <c r="K17" s="38" t="s">
        <v>51</v>
      </c>
      <c r="L17" s="39">
        <v>12</v>
      </c>
      <c r="M17" s="40" t="s">
        <v>51</v>
      </c>
      <c r="N17" s="41" t="s">
        <v>665</v>
      </c>
      <c r="O17" s="41" t="s">
        <v>61</v>
      </c>
      <c r="P17" s="42" t="s">
        <v>57</v>
      </c>
      <c r="Q17" s="43" t="s">
        <v>648</v>
      </c>
      <c r="R17" s="44" t="s">
        <v>53</v>
      </c>
      <c r="S17" s="43"/>
      <c r="T17" s="45">
        <v>4</v>
      </c>
      <c r="U17" s="46">
        <v>3</v>
      </c>
      <c r="V17" s="37" t="str">
        <f t="shared" si="0" ref="V17:V57">IF(U17*T17&lt;=4,U17*T17,"")</f>
        <v/>
      </c>
      <c r="W17" s="38" t="str">
        <f t="shared" si="1" ref="W17:W57">IF(AND(U17*T17&gt;=5,U17*T17&lt;10),U17*T17,"")</f>
        <v/>
      </c>
      <c r="X17" s="39">
        <f t="shared" si="2" ref="X17:X57">IF(AND(U17*T17&gt;=10,U17*T17&lt;=15),U17*T17,"")</f>
        <v>12</v>
      </c>
      <c r="Y17" s="40" t="str">
        <f t="shared" si="3" ref="Y17:Y57">IF(U17*T17&gt;=16,U17*T17,"")</f>
        <v/>
      </c>
    </row>
    <row r="18" spans="1:25" s="8" customFormat="1" ht="331.8" thickBot="1">
      <c r="A18" s="17"/>
      <c r="B18" s="47">
        <v>2</v>
      </c>
      <c r="C18" s="32" t="s">
        <v>48</v>
      </c>
      <c r="D18" s="33" t="s">
        <v>62</v>
      </c>
      <c r="E18" s="33" t="s">
        <v>63</v>
      </c>
      <c r="F18" s="34" t="s">
        <v>49</v>
      </c>
      <c r="G18" s="33" t="s">
        <v>50</v>
      </c>
      <c r="H18" s="35">
        <v>3</v>
      </c>
      <c r="I18" s="36">
        <v>4</v>
      </c>
      <c r="J18" s="37" t="s">
        <v>51</v>
      </c>
      <c r="K18" s="38" t="s">
        <v>51</v>
      </c>
      <c r="L18" s="39">
        <v>12</v>
      </c>
      <c r="M18" s="40" t="s">
        <v>51</v>
      </c>
      <c r="N18" s="41" t="s">
        <v>653</v>
      </c>
      <c r="O18" s="41" t="s">
        <v>64</v>
      </c>
      <c r="P18" s="42" t="s">
        <v>65</v>
      </c>
      <c r="Q18" s="43" t="s">
        <v>648</v>
      </c>
      <c r="R18" s="44" t="s">
        <v>53</v>
      </c>
      <c r="S18" s="43"/>
      <c r="T18" s="45">
        <v>3</v>
      </c>
      <c r="U18" s="46">
        <v>4</v>
      </c>
      <c r="V18" s="37" t="str">
        <f t="shared" si="0"/>
        <v/>
      </c>
      <c r="W18" s="38" t="str">
        <f t="shared" si="1"/>
        <v/>
      </c>
      <c r="X18" s="39">
        <f t="shared" si="2"/>
        <v>12</v>
      </c>
      <c r="Y18" s="40" t="str">
        <f t="shared" si="3"/>
        <v/>
      </c>
    </row>
    <row r="19" spans="1:25" s="8" customFormat="1" ht="408.75" customHeight="1" thickBot="1">
      <c r="A19" s="17"/>
      <c r="B19" s="31">
        <v>3</v>
      </c>
      <c r="C19" s="32" t="s">
        <v>48</v>
      </c>
      <c r="D19" s="48" t="s">
        <v>66</v>
      </c>
      <c r="E19" s="33" t="s">
        <v>67</v>
      </c>
      <c r="F19" s="34" t="s">
        <v>49</v>
      </c>
      <c r="G19" s="33" t="s">
        <v>68</v>
      </c>
      <c r="H19" s="35">
        <v>3</v>
      </c>
      <c r="I19" s="36">
        <v>4</v>
      </c>
      <c r="J19" s="37" t="s">
        <v>51</v>
      </c>
      <c r="K19" s="38" t="s">
        <v>51</v>
      </c>
      <c r="L19" s="39">
        <v>12</v>
      </c>
      <c r="M19" s="40" t="s">
        <v>51</v>
      </c>
      <c r="N19" s="41" t="s">
        <v>521</v>
      </c>
      <c r="O19" s="41" t="s">
        <v>69</v>
      </c>
      <c r="P19" s="96" t="s">
        <v>70</v>
      </c>
      <c r="Q19" s="43" t="s">
        <v>649</v>
      </c>
      <c r="R19" s="44" t="s">
        <v>53</v>
      </c>
      <c r="S19" s="43"/>
      <c r="T19" s="45">
        <v>1</v>
      </c>
      <c r="U19" s="46">
        <v>4</v>
      </c>
      <c r="V19" s="37">
        <f t="shared" si="0"/>
        <v>4</v>
      </c>
      <c r="W19" s="38" t="str">
        <f t="shared" si="1"/>
        <v/>
      </c>
      <c r="X19" s="39" t="str">
        <f t="shared" si="2"/>
        <v/>
      </c>
      <c r="Y19" s="40" t="str">
        <f t="shared" si="3"/>
        <v/>
      </c>
    </row>
    <row r="20" spans="1:25" s="8" customFormat="1" ht="249" thickBot="1">
      <c r="A20" s="17"/>
      <c r="B20" s="47">
        <v>4</v>
      </c>
      <c r="C20" s="32" t="s">
        <v>48</v>
      </c>
      <c r="D20" s="33" t="s">
        <v>71</v>
      </c>
      <c r="E20" s="48" t="s">
        <v>72</v>
      </c>
      <c r="F20" s="34" t="s">
        <v>49</v>
      </c>
      <c r="G20" s="33" t="s">
        <v>50</v>
      </c>
      <c r="H20" s="35">
        <v>3</v>
      </c>
      <c r="I20" s="36">
        <v>4</v>
      </c>
      <c r="J20" s="37" t="s">
        <v>51</v>
      </c>
      <c r="K20" s="38" t="s">
        <v>51</v>
      </c>
      <c r="L20" s="39">
        <v>12</v>
      </c>
      <c r="M20" s="40" t="s">
        <v>51</v>
      </c>
      <c r="N20" s="41" t="s">
        <v>522</v>
      </c>
      <c r="O20" s="41" t="s">
        <v>73</v>
      </c>
      <c r="P20" s="42" t="s">
        <v>74</v>
      </c>
      <c r="Q20" s="43" t="s">
        <v>649</v>
      </c>
      <c r="R20" s="44" t="s">
        <v>53</v>
      </c>
      <c r="S20" s="43"/>
      <c r="T20" s="45">
        <v>1</v>
      </c>
      <c r="U20" s="46">
        <v>4</v>
      </c>
      <c r="V20" s="37">
        <f t="shared" si="0"/>
        <v>4</v>
      </c>
      <c r="W20" s="38" t="str">
        <f t="shared" si="1"/>
        <v/>
      </c>
      <c r="X20" s="39" t="str">
        <f t="shared" si="2"/>
        <v/>
      </c>
      <c r="Y20" s="40" t="str">
        <f t="shared" si="3"/>
        <v/>
      </c>
    </row>
    <row r="21" spans="1:25" s="8" customFormat="1" ht="141.6" thickBot="1">
      <c r="A21" s="17"/>
      <c r="B21" s="31">
        <v>5</v>
      </c>
      <c r="C21" s="32" t="s">
        <v>48</v>
      </c>
      <c r="D21" s="48" t="s">
        <v>76</v>
      </c>
      <c r="E21" s="48" t="s">
        <v>77</v>
      </c>
      <c r="F21" s="34" t="s">
        <v>49</v>
      </c>
      <c r="G21" s="33" t="s">
        <v>50</v>
      </c>
      <c r="H21" s="35">
        <v>3</v>
      </c>
      <c r="I21" s="36">
        <v>3</v>
      </c>
      <c r="J21" s="37" t="s">
        <v>51</v>
      </c>
      <c r="K21" s="38">
        <v>9</v>
      </c>
      <c r="L21" s="39" t="s">
        <v>51</v>
      </c>
      <c r="M21" s="40" t="s">
        <v>51</v>
      </c>
      <c r="N21" s="48" t="s">
        <v>654</v>
      </c>
      <c r="O21" s="48" t="s">
        <v>78</v>
      </c>
      <c r="P21" s="42" t="s">
        <v>57</v>
      </c>
      <c r="Q21" s="43" t="s">
        <v>650</v>
      </c>
      <c r="R21" s="44" t="s">
        <v>53</v>
      </c>
      <c r="S21" s="43"/>
      <c r="T21" s="45">
        <v>3</v>
      </c>
      <c r="U21" s="46">
        <v>3</v>
      </c>
      <c r="V21" s="37" t="str">
        <f t="shared" si="0"/>
        <v/>
      </c>
      <c r="W21" s="38">
        <f t="shared" si="1"/>
        <v>9</v>
      </c>
      <c r="X21" s="39" t="str">
        <f t="shared" si="2"/>
        <v/>
      </c>
      <c r="Y21" s="40" t="str">
        <f t="shared" si="3"/>
        <v/>
      </c>
    </row>
    <row r="22" spans="1:25" s="8" customFormat="1" ht="193.8" thickBot="1">
      <c r="A22" s="17"/>
      <c r="B22" s="47">
        <v>6</v>
      </c>
      <c r="C22" s="32" t="s">
        <v>48</v>
      </c>
      <c r="D22" s="48" t="s">
        <v>79</v>
      </c>
      <c r="E22" s="34" t="s">
        <v>80</v>
      </c>
      <c r="F22" s="48" t="s">
        <v>49</v>
      </c>
      <c r="G22" s="33" t="s">
        <v>50</v>
      </c>
      <c r="H22" s="35">
        <v>3</v>
      </c>
      <c r="I22" s="36">
        <v>3</v>
      </c>
      <c r="J22" s="37" t="s">
        <v>51</v>
      </c>
      <c r="K22" s="38">
        <v>9</v>
      </c>
      <c r="L22" s="39" t="s">
        <v>51</v>
      </c>
      <c r="M22" s="40" t="s">
        <v>51</v>
      </c>
      <c r="N22" s="48" t="s">
        <v>666</v>
      </c>
      <c r="O22" s="34" t="s">
        <v>523</v>
      </c>
      <c r="P22" s="42" t="s">
        <v>54</v>
      </c>
      <c r="Q22" s="43" t="s">
        <v>649</v>
      </c>
      <c r="R22" s="44" t="s">
        <v>53</v>
      </c>
      <c r="S22" s="43"/>
      <c r="T22" s="45">
        <v>1</v>
      </c>
      <c r="U22" s="46">
        <v>3</v>
      </c>
      <c r="V22" s="37">
        <f t="shared" si="0"/>
        <v>3</v>
      </c>
      <c r="W22" s="38" t="str">
        <f t="shared" si="1"/>
        <v/>
      </c>
      <c r="X22" s="39" t="str">
        <f t="shared" si="2"/>
        <v/>
      </c>
      <c r="Y22" s="40" t="str">
        <f t="shared" si="3"/>
        <v/>
      </c>
    </row>
    <row r="23" spans="1:25" s="8" customFormat="1" ht="249" thickBot="1">
      <c r="A23" s="17"/>
      <c r="B23" s="31">
        <v>7</v>
      </c>
      <c r="C23" s="32" t="s">
        <v>48</v>
      </c>
      <c r="D23" s="48" t="s">
        <v>81</v>
      </c>
      <c r="E23" s="48" t="s">
        <v>82</v>
      </c>
      <c r="F23" s="34" t="s">
        <v>49</v>
      </c>
      <c r="G23" s="33" t="s">
        <v>50</v>
      </c>
      <c r="H23" s="35">
        <v>3</v>
      </c>
      <c r="I23" s="36">
        <v>3</v>
      </c>
      <c r="J23" s="37" t="s">
        <v>51</v>
      </c>
      <c r="K23" s="38">
        <v>9</v>
      </c>
      <c r="L23" s="39" t="s">
        <v>51</v>
      </c>
      <c r="M23" s="40" t="s">
        <v>51</v>
      </c>
      <c r="N23" s="48" t="s">
        <v>622</v>
      </c>
      <c r="O23" s="48" t="s">
        <v>83</v>
      </c>
      <c r="P23" s="49" t="s">
        <v>74</v>
      </c>
      <c r="Q23" s="43" t="s">
        <v>649</v>
      </c>
      <c r="R23" s="44" t="s">
        <v>53</v>
      </c>
      <c r="S23" s="43"/>
      <c r="T23" s="45">
        <v>1</v>
      </c>
      <c r="U23" s="46">
        <v>3</v>
      </c>
      <c r="V23" s="37">
        <f t="shared" si="0"/>
        <v>3</v>
      </c>
      <c r="W23" s="38" t="str">
        <f t="shared" si="1"/>
        <v/>
      </c>
      <c r="X23" s="39" t="str">
        <f t="shared" si="2"/>
        <v/>
      </c>
      <c r="Y23" s="40" t="str">
        <f t="shared" si="3"/>
        <v/>
      </c>
    </row>
    <row r="24" spans="1:25" s="8" customFormat="1" ht="198" thickBot="1">
      <c r="A24" s="17"/>
      <c r="B24" s="47">
        <v>8</v>
      </c>
      <c r="C24" s="32" t="s">
        <v>48</v>
      </c>
      <c r="D24" s="48" t="s">
        <v>84</v>
      </c>
      <c r="E24" s="48" t="s">
        <v>85</v>
      </c>
      <c r="F24" s="34" t="s">
        <v>49</v>
      </c>
      <c r="G24" s="33" t="s">
        <v>50</v>
      </c>
      <c r="H24" s="35">
        <v>3</v>
      </c>
      <c r="I24" s="36">
        <v>3</v>
      </c>
      <c r="J24" s="37" t="s">
        <v>51</v>
      </c>
      <c r="K24" s="38">
        <v>9</v>
      </c>
      <c r="L24" s="39" t="s">
        <v>51</v>
      </c>
      <c r="M24" s="40" t="s">
        <v>51</v>
      </c>
      <c r="N24" s="48" t="s">
        <v>623</v>
      </c>
      <c r="O24" s="48" t="s">
        <v>86</v>
      </c>
      <c r="P24" s="42" t="s">
        <v>57</v>
      </c>
      <c r="Q24" s="43" t="s">
        <v>650</v>
      </c>
      <c r="R24" s="44" t="s">
        <v>53</v>
      </c>
      <c r="S24" s="43"/>
      <c r="T24" s="45">
        <v>3</v>
      </c>
      <c r="U24" s="46">
        <v>3</v>
      </c>
      <c r="V24" s="37" t="str">
        <f t="shared" si="0"/>
        <v/>
      </c>
      <c r="W24" s="38">
        <f t="shared" si="1"/>
        <v>9</v>
      </c>
      <c r="X24" s="39" t="str">
        <f t="shared" si="2"/>
        <v/>
      </c>
      <c r="Y24" s="40" t="str">
        <f t="shared" si="3"/>
        <v/>
      </c>
    </row>
    <row r="25" spans="1:25" s="8" customFormat="1" ht="304.2" thickBot="1">
      <c r="A25" s="17"/>
      <c r="B25" s="31">
        <v>9</v>
      </c>
      <c r="C25" s="32" t="s">
        <v>48</v>
      </c>
      <c r="D25" s="48" t="s">
        <v>87</v>
      </c>
      <c r="E25" s="48" t="s">
        <v>88</v>
      </c>
      <c r="F25" s="34" t="s">
        <v>49</v>
      </c>
      <c r="G25" s="33" t="s">
        <v>68</v>
      </c>
      <c r="H25" s="35">
        <v>3</v>
      </c>
      <c r="I25" s="36">
        <v>3</v>
      </c>
      <c r="J25" s="37" t="s">
        <v>51</v>
      </c>
      <c r="K25" s="38">
        <v>9</v>
      </c>
      <c r="L25" s="39" t="s">
        <v>51</v>
      </c>
      <c r="M25" s="40" t="s">
        <v>51</v>
      </c>
      <c r="N25" s="48" t="s">
        <v>524</v>
      </c>
      <c r="O25" s="48" t="s">
        <v>89</v>
      </c>
      <c r="P25" s="42" t="s">
        <v>90</v>
      </c>
      <c r="Q25" s="43" t="s">
        <v>649</v>
      </c>
      <c r="R25" s="44" t="s">
        <v>53</v>
      </c>
      <c r="S25" s="43"/>
      <c r="T25" s="45">
        <v>1</v>
      </c>
      <c r="U25" s="46">
        <v>3</v>
      </c>
      <c r="V25" s="37">
        <f t="shared" si="0"/>
        <v>3</v>
      </c>
      <c r="W25" s="38" t="str">
        <f t="shared" si="1"/>
        <v/>
      </c>
      <c r="X25" s="39" t="str">
        <f t="shared" si="2"/>
        <v/>
      </c>
      <c r="Y25" s="40" t="str">
        <f t="shared" si="3"/>
        <v/>
      </c>
    </row>
    <row r="26" spans="1:25" s="8" customFormat="1" ht="138.6" thickBot="1">
      <c r="A26" s="17"/>
      <c r="B26" s="47">
        <v>10</v>
      </c>
      <c r="C26" s="32" t="s">
        <v>48</v>
      </c>
      <c r="D26" s="48" t="s">
        <v>91</v>
      </c>
      <c r="E26" s="48" t="s">
        <v>75</v>
      </c>
      <c r="F26" s="34" t="s">
        <v>49</v>
      </c>
      <c r="G26" s="33" t="s">
        <v>50</v>
      </c>
      <c r="H26" s="35">
        <v>3</v>
      </c>
      <c r="I26" s="36">
        <v>3</v>
      </c>
      <c r="J26" s="37" t="s">
        <v>51</v>
      </c>
      <c r="K26" s="38">
        <v>9</v>
      </c>
      <c r="L26" s="39" t="s">
        <v>51</v>
      </c>
      <c r="M26" s="40" t="s">
        <v>51</v>
      </c>
      <c r="N26" s="48" t="s">
        <v>525</v>
      </c>
      <c r="O26" s="48" t="s">
        <v>92</v>
      </c>
      <c r="P26" s="42" t="s">
        <v>57</v>
      </c>
      <c r="Q26" s="43" t="s">
        <v>649</v>
      </c>
      <c r="R26" s="44" t="s">
        <v>53</v>
      </c>
      <c r="S26" s="43"/>
      <c r="T26" s="45">
        <v>1</v>
      </c>
      <c r="U26" s="46">
        <v>3</v>
      </c>
      <c r="V26" s="37">
        <f t="shared" si="0"/>
        <v>3</v>
      </c>
      <c r="W26" s="38" t="str">
        <f t="shared" si="1"/>
        <v/>
      </c>
      <c r="X26" s="39" t="str">
        <f t="shared" si="2"/>
        <v/>
      </c>
      <c r="Y26" s="40" t="str">
        <f t="shared" si="3"/>
        <v/>
      </c>
    </row>
    <row r="27" spans="1:25" s="8" customFormat="1" ht="249" thickBot="1">
      <c r="A27" s="17"/>
      <c r="B27" s="31">
        <v>11</v>
      </c>
      <c r="C27" s="32" t="s">
        <v>48</v>
      </c>
      <c r="D27" s="33" t="s">
        <v>93</v>
      </c>
      <c r="E27" s="33" t="s">
        <v>94</v>
      </c>
      <c r="F27" s="34" t="s">
        <v>49</v>
      </c>
      <c r="G27" s="33" t="s">
        <v>50</v>
      </c>
      <c r="H27" s="35">
        <v>3</v>
      </c>
      <c r="I27" s="36">
        <v>3</v>
      </c>
      <c r="J27" s="37" t="s">
        <v>51</v>
      </c>
      <c r="K27" s="38">
        <v>9</v>
      </c>
      <c r="L27" s="39" t="s">
        <v>51</v>
      </c>
      <c r="M27" s="40" t="s">
        <v>51</v>
      </c>
      <c r="N27" s="48" t="s">
        <v>526</v>
      </c>
      <c r="O27" s="34" t="s">
        <v>95</v>
      </c>
      <c r="P27" s="42" t="s">
        <v>96</v>
      </c>
      <c r="Q27" s="43" t="s">
        <v>649</v>
      </c>
      <c r="R27" s="44" t="s">
        <v>53</v>
      </c>
      <c r="S27" s="43"/>
      <c r="T27" s="45">
        <v>1</v>
      </c>
      <c r="U27" s="46">
        <v>3</v>
      </c>
      <c r="V27" s="37">
        <f t="shared" si="0"/>
        <v>3</v>
      </c>
      <c r="W27" s="38" t="str">
        <f t="shared" si="1"/>
        <v/>
      </c>
      <c r="X27" s="39" t="str">
        <f t="shared" si="2"/>
        <v/>
      </c>
      <c r="Y27" s="40" t="str">
        <f t="shared" si="3"/>
        <v/>
      </c>
    </row>
    <row r="28" spans="1:25" s="8" customFormat="1" ht="408.75" customHeight="1" thickBot="1">
      <c r="A28" s="17"/>
      <c r="B28" s="47">
        <v>12</v>
      </c>
      <c r="C28" s="32" t="s">
        <v>48</v>
      </c>
      <c r="D28" s="33" t="s">
        <v>97</v>
      </c>
      <c r="E28" s="33" t="s">
        <v>98</v>
      </c>
      <c r="F28" s="34" t="s">
        <v>49</v>
      </c>
      <c r="G28" s="33" t="s">
        <v>50</v>
      </c>
      <c r="H28" s="35">
        <v>3</v>
      </c>
      <c r="I28" s="36">
        <v>3</v>
      </c>
      <c r="J28" s="37" t="s">
        <v>51</v>
      </c>
      <c r="K28" s="38">
        <v>9</v>
      </c>
      <c r="L28" s="39" t="s">
        <v>51</v>
      </c>
      <c r="M28" s="40" t="s">
        <v>51</v>
      </c>
      <c r="N28" s="48" t="s">
        <v>527</v>
      </c>
      <c r="O28" s="34" t="s">
        <v>99</v>
      </c>
      <c r="P28" s="94" t="s">
        <v>100</v>
      </c>
      <c r="Q28" s="43" t="s">
        <v>649</v>
      </c>
      <c r="R28" s="44" t="s">
        <v>53</v>
      </c>
      <c r="S28" s="43"/>
      <c r="T28" s="45">
        <v>1</v>
      </c>
      <c r="U28" s="46">
        <v>3</v>
      </c>
      <c r="V28" s="37">
        <f t="shared" si="0"/>
        <v>3</v>
      </c>
      <c r="W28" s="38" t="str">
        <f t="shared" si="1"/>
        <v/>
      </c>
      <c r="X28" s="39" t="str">
        <f t="shared" si="2"/>
        <v/>
      </c>
      <c r="Y28" s="40" t="str">
        <f t="shared" si="3"/>
        <v/>
      </c>
    </row>
    <row r="29" spans="1:25" s="8" customFormat="1" ht="249" thickBot="1">
      <c r="A29" s="17"/>
      <c r="B29" s="31">
        <v>13</v>
      </c>
      <c r="C29" s="32" t="s">
        <v>48</v>
      </c>
      <c r="D29" s="34" t="s">
        <v>101</v>
      </c>
      <c r="E29" s="48" t="s">
        <v>75</v>
      </c>
      <c r="F29" s="34" t="s">
        <v>49</v>
      </c>
      <c r="G29" s="33" t="s">
        <v>50</v>
      </c>
      <c r="H29" s="35">
        <v>3</v>
      </c>
      <c r="I29" s="36">
        <v>3</v>
      </c>
      <c r="J29" s="37" t="s">
        <v>51</v>
      </c>
      <c r="K29" s="38">
        <v>9</v>
      </c>
      <c r="L29" s="39" t="s">
        <v>51</v>
      </c>
      <c r="M29" s="40" t="s">
        <v>51</v>
      </c>
      <c r="N29" s="34" t="s">
        <v>528</v>
      </c>
      <c r="O29" s="34" t="s">
        <v>102</v>
      </c>
      <c r="P29" s="42" t="s">
        <v>96</v>
      </c>
      <c r="Q29" s="43" t="s">
        <v>649</v>
      </c>
      <c r="R29" s="44" t="s">
        <v>53</v>
      </c>
      <c r="S29" s="43"/>
      <c r="T29" s="45">
        <v>1</v>
      </c>
      <c r="U29" s="46">
        <v>3</v>
      </c>
      <c r="V29" s="37">
        <f t="shared" si="0"/>
        <v>3</v>
      </c>
      <c r="W29" s="38" t="str">
        <f t="shared" si="1"/>
        <v/>
      </c>
      <c r="X29" s="39" t="str">
        <f t="shared" si="2"/>
        <v/>
      </c>
      <c r="Y29" s="40" t="str">
        <f t="shared" si="3"/>
        <v/>
      </c>
    </row>
    <row r="30" spans="1:25" s="8" customFormat="1" ht="276.6" thickBot="1">
      <c r="A30" s="17"/>
      <c r="B30" s="47">
        <v>14</v>
      </c>
      <c r="C30" s="32" t="s">
        <v>48</v>
      </c>
      <c r="D30" s="34" t="s">
        <v>103</v>
      </c>
      <c r="E30" s="33" t="s">
        <v>104</v>
      </c>
      <c r="F30" s="48" t="s">
        <v>49</v>
      </c>
      <c r="G30" s="33" t="s">
        <v>68</v>
      </c>
      <c r="H30" s="35">
        <v>3</v>
      </c>
      <c r="I30" s="36">
        <v>3</v>
      </c>
      <c r="J30" s="37" t="s">
        <v>51</v>
      </c>
      <c r="K30" s="38">
        <v>9</v>
      </c>
      <c r="L30" s="39" t="s">
        <v>51</v>
      </c>
      <c r="M30" s="40" t="s">
        <v>51</v>
      </c>
      <c r="N30" s="34" t="s">
        <v>529</v>
      </c>
      <c r="O30" s="34" t="s">
        <v>105</v>
      </c>
      <c r="P30" s="42" t="s">
        <v>106</v>
      </c>
      <c r="Q30" s="43" t="s">
        <v>649</v>
      </c>
      <c r="R30" s="44" t="s">
        <v>53</v>
      </c>
      <c r="S30" s="43"/>
      <c r="T30" s="45">
        <v>1</v>
      </c>
      <c r="U30" s="46">
        <v>3</v>
      </c>
      <c r="V30" s="37">
        <f t="shared" si="0"/>
        <v>3</v>
      </c>
      <c r="W30" s="38" t="str">
        <f t="shared" si="1"/>
        <v/>
      </c>
      <c r="X30" s="39" t="str">
        <f t="shared" si="2"/>
        <v/>
      </c>
      <c r="Y30" s="40" t="str">
        <f t="shared" si="3"/>
        <v/>
      </c>
    </row>
    <row r="31" spans="1:25" s="8" customFormat="1" ht="138.6" thickBot="1">
      <c r="A31" s="17"/>
      <c r="B31" s="31">
        <v>15</v>
      </c>
      <c r="C31" s="32" t="s">
        <v>48</v>
      </c>
      <c r="D31" s="33" t="s">
        <v>107</v>
      </c>
      <c r="E31" s="33" t="s">
        <v>75</v>
      </c>
      <c r="F31" s="48" t="s">
        <v>49</v>
      </c>
      <c r="G31" s="33" t="s">
        <v>50</v>
      </c>
      <c r="H31" s="35">
        <v>3</v>
      </c>
      <c r="I31" s="36">
        <v>3</v>
      </c>
      <c r="J31" s="37" t="s">
        <v>51</v>
      </c>
      <c r="K31" s="38">
        <v>9</v>
      </c>
      <c r="L31" s="39" t="s">
        <v>51</v>
      </c>
      <c r="M31" s="40" t="s">
        <v>51</v>
      </c>
      <c r="N31" s="48" t="s">
        <v>530</v>
      </c>
      <c r="O31" s="34" t="s">
        <v>108</v>
      </c>
      <c r="P31" s="42" t="s">
        <v>57</v>
      </c>
      <c r="Q31" s="43" t="s">
        <v>649</v>
      </c>
      <c r="R31" s="44" t="s">
        <v>53</v>
      </c>
      <c r="S31" s="43"/>
      <c r="T31" s="45">
        <v>1</v>
      </c>
      <c r="U31" s="46">
        <v>3</v>
      </c>
      <c r="V31" s="37">
        <f t="shared" si="0"/>
        <v>3</v>
      </c>
      <c r="W31" s="38" t="str">
        <f t="shared" si="1"/>
        <v/>
      </c>
      <c r="X31" s="39" t="str">
        <f t="shared" si="2"/>
        <v/>
      </c>
      <c r="Y31" s="40" t="str">
        <f t="shared" si="3"/>
        <v/>
      </c>
    </row>
    <row r="32" spans="1:25" s="8" customFormat="1" ht="249" thickBot="1">
      <c r="A32" s="17"/>
      <c r="B32" s="47">
        <v>16</v>
      </c>
      <c r="C32" s="32" t="s">
        <v>48</v>
      </c>
      <c r="D32" s="34" t="s">
        <v>109</v>
      </c>
      <c r="E32" s="33" t="s">
        <v>94</v>
      </c>
      <c r="F32" s="48" t="s">
        <v>49</v>
      </c>
      <c r="G32" s="33" t="s">
        <v>50</v>
      </c>
      <c r="H32" s="35">
        <v>3</v>
      </c>
      <c r="I32" s="36">
        <v>3</v>
      </c>
      <c r="J32" s="37" t="s">
        <v>51</v>
      </c>
      <c r="K32" s="38">
        <v>9</v>
      </c>
      <c r="L32" s="39" t="s">
        <v>51</v>
      </c>
      <c r="M32" s="40" t="s">
        <v>51</v>
      </c>
      <c r="N32" s="34" t="s">
        <v>624</v>
      </c>
      <c r="O32" s="34" t="s">
        <v>110</v>
      </c>
      <c r="P32" s="42" t="s">
        <v>96</v>
      </c>
      <c r="Q32" s="43" t="s">
        <v>649</v>
      </c>
      <c r="R32" s="44" t="s">
        <v>53</v>
      </c>
      <c r="S32" s="43"/>
      <c r="T32" s="45">
        <v>1</v>
      </c>
      <c r="U32" s="46">
        <v>3</v>
      </c>
      <c r="V32" s="37">
        <f t="shared" si="0"/>
        <v>3</v>
      </c>
      <c r="W32" s="38" t="str">
        <f t="shared" si="1"/>
        <v/>
      </c>
      <c r="X32" s="39" t="str">
        <f t="shared" si="2"/>
        <v/>
      </c>
      <c r="Y32" s="40" t="str">
        <f t="shared" si="3"/>
        <v/>
      </c>
    </row>
    <row r="33" spans="1:25" s="8" customFormat="1" ht="249" thickBot="1">
      <c r="A33" s="17"/>
      <c r="B33" s="31">
        <v>17</v>
      </c>
      <c r="C33" s="32" t="s">
        <v>48</v>
      </c>
      <c r="D33" s="33" t="s">
        <v>111</v>
      </c>
      <c r="E33" s="33" t="s">
        <v>112</v>
      </c>
      <c r="F33" s="48" t="s">
        <v>49</v>
      </c>
      <c r="G33" s="33" t="s">
        <v>50</v>
      </c>
      <c r="H33" s="35">
        <v>3</v>
      </c>
      <c r="I33" s="36">
        <v>3</v>
      </c>
      <c r="J33" s="37" t="s">
        <v>51</v>
      </c>
      <c r="K33" s="38">
        <v>9</v>
      </c>
      <c r="L33" s="39" t="s">
        <v>51</v>
      </c>
      <c r="M33" s="40" t="s">
        <v>51</v>
      </c>
      <c r="N33" s="33" t="s">
        <v>531</v>
      </c>
      <c r="O33" s="41" t="s">
        <v>113</v>
      </c>
      <c r="P33" s="50" t="s">
        <v>114</v>
      </c>
      <c r="Q33" s="43" t="s">
        <v>649</v>
      </c>
      <c r="R33" s="44" t="s">
        <v>53</v>
      </c>
      <c r="S33" s="43"/>
      <c r="T33" s="45">
        <v>1</v>
      </c>
      <c r="U33" s="46">
        <v>3</v>
      </c>
      <c r="V33" s="37">
        <f t="shared" si="0"/>
        <v>3</v>
      </c>
      <c r="W33" s="38" t="str">
        <f t="shared" si="1"/>
        <v/>
      </c>
      <c r="X33" s="39" t="str">
        <f t="shared" si="2"/>
        <v/>
      </c>
      <c r="Y33" s="40" t="str">
        <f t="shared" si="3"/>
        <v/>
      </c>
    </row>
    <row r="34" spans="1:25" s="8" customFormat="1" ht="113.4" thickBot="1">
      <c r="A34" s="17"/>
      <c r="B34" s="47">
        <v>18</v>
      </c>
      <c r="C34" s="32" t="s">
        <v>48</v>
      </c>
      <c r="D34" s="48" t="s">
        <v>115</v>
      </c>
      <c r="E34" s="48" t="s">
        <v>116</v>
      </c>
      <c r="F34" s="34" t="s">
        <v>49</v>
      </c>
      <c r="G34" s="33" t="s">
        <v>50</v>
      </c>
      <c r="H34" s="35">
        <v>3</v>
      </c>
      <c r="I34" s="36">
        <v>3</v>
      </c>
      <c r="J34" s="37" t="s">
        <v>51</v>
      </c>
      <c r="K34" s="38">
        <v>9</v>
      </c>
      <c r="L34" s="39" t="s">
        <v>51</v>
      </c>
      <c r="M34" s="40" t="s">
        <v>51</v>
      </c>
      <c r="N34" s="34" t="s">
        <v>532</v>
      </c>
      <c r="O34" s="48" t="s">
        <v>117</v>
      </c>
      <c r="P34" s="42" t="s">
        <v>52</v>
      </c>
      <c r="Q34" s="43" t="s">
        <v>649</v>
      </c>
      <c r="R34" s="44" t="s">
        <v>53</v>
      </c>
      <c r="S34" s="43"/>
      <c r="T34" s="45">
        <v>1</v>
      </c>
      <c r="U34" s="46">
        <v>3</v>
      </c>
      <c r="V34" s="37">
        <f t="shared" si="0"/>
        <v>3</v>
      </c>
      <c r="W34" s="38" t="str">
        <f t="shared" si="1"/>
        <v/>
      </c>
      <c r="X34" s="39" t="str">
        <f t="shared" si="2"/>
        <v/>
      </c>
      <c r="Y34" s="40" t="str">
        <f t="shared" si="3"/>
        <v/>
      </c>
    </row>
    <row r="35" spans="1:25" s="8" customFormat="1" ht="138.6" thickBot="1">
      <c r="A35" s="17"/>
      <c r="B35" s="31">
        <v>19</v>
      </c>
      <c r="C35" s="32" t="s">
        <v>48</v>
      </c>
      <c r="D35" s="33" t="s">
        <v>118</v>
      </c>
      <c r="E35" s="34" t="s">
        <v>75</v>
      </c>
      <c r="F35" s="34" t="s">
        <v>49</v>
      </c>
      <c r="G35" s="33" t="s">
        <v>50</v>
      </c>
      <c r="H35" s="35">
        <v>3</v>
      </c>
      <c r="I35" s="36">
        <v>3</v>
      </c>
      <c r="J35" s="37" t="s">
        <v>51</v>
      </c>
      <c r="K35" s="38">
        <v>9</v>
      </c>
      <c r="L35" s="39" t="s">
        <v>51</v>
      </c>
      <c r="M35" s="40" t="s">
        <v>51</v>
      </c>
      <c r="N35" s="34" t="s">
        <v>533</v>
      </c>
      <c r="O35" s="34" t="s">
        <v>119</v>
      </c>
      <c r="P35" s="42" t="s">
        <v>57</v>
      </c>
      <c r="Q35" s="43" t="s">
        <v>649</v>
      </c>
      <c r="R35" s="44" t="s">
        <v>53</v>
      </c>
      <c r="S35" s="43"/>
      <c r="T35" s="45">
        <v>1</v>
      </c>
      <c r="U35" s="46">
        <v>3</v>
      </c>
      <c r="V35" s="37">
        <f t="shared" si="0"/>
        <v>3</v>
      </c>
      <c r="W35" s="38" t="str">
        <f t="shared" si="1"/>
        <v/>
      </c>
      <c r="X35" s="39" t="str">
        <f t="shared" si="2"/>
        <v/>
      </c>
      <c r="Y35" s="40" t="str">
        <f t="shared" si="3"/>
        <v/>
      </c>
    </row>
    <row r="36" spans="1:25" s="8" customFormat="1" ht="249" thickBot="1">
      <c r="A36" s="17"/>
      <c r="B36" s="47">
        <v>20</v>
      </c>
      <c r="C36" s="32" t="s">
        <v>48</v>
      </c>
      <c r="D36" s="33" t="s">
        <v>120</v>
      </c>
      <c r="E36" s="33" t="s">
        <v>121</v>
      </c>
      <c r="F36" s="34" t="s">
        <v>49</v>
      </c>
      <c r="G36" s="33" t="s">
        <v>50</v>
      </c>
      <c r="H36" s="35">
        <v>3</v>
      </c>
      <c r="I36" s="36">
        <v>3</v>
      </c>
      <c r="J36" s="37" t="s">
        <v>51</v>
      </c>
      <c r="K36" s="38">
        <v>9</v>
      </c>
      <c r="L36" s="39" t="s">
        <v>51</v>
      </c>
      <c r="M36" s="40" t="s">
        <v>51</v>
      </c>
      <c r="N36" s="41" t="s">
        <v>534</v>
      </c>
      <c r="O36" s="34" t="s">
        <v>122</v>
      </c>
      <c r="P36" s="42" t="s">
        <v>96</v>
      </c>
      <c r="Q36" s="43" t="s">
        <v>649</v>
      </c>
      <c r="R36" s="44" t="s">
        <v>53</v>
      </c>
      <c r="S36" s="43"/>
      <c r="T36" s="45">
        <v>1</v>
      </c>
      <c r="U36" s="46">
        <v>3</v>
      </c>
      <c r="V36" s="37">
        <f t="shared" si="0"/>
        <v>3</v>
      </c>
      <c r="W36" s="38" t="str">
        <f t="shared" si="1"/>
        <v/>
      </c>
      <c r="X36" s="39" t="str">
        <f t="shared" si="2"/>
        <v/>
      </c>
      <c r="Y36" s="40" t="str">
        <f t="shared" si="3"/>
        <v/>
      </c>
    </row>
    <row r="37" spans="1:25" s="8" customFormat="1" ht="249" thickBot="1">
      <c r="A37" s="17"/>
      <c r="B37" s="31">
        <v>21</v>
      </c>
      <c r="C37" s="32" t="s">
        <v>48</v>
      </c>
      <c r="D37" s="33" t="s">
        <v>123</v>
      </c>
      <c r="E37" s="33" t="s">
        <v>124</v>
      </c>
      <c r="F37" s="34" t="s">
        <v>49</v>
      </c>
      <c r="G37" s="33" t="s">
        <v>50</v>
      </c>
      <c r="H37" s="35">
        <v>3</v>
      </c>
      <c r="I37" s="36">
        <v>3</v>
      </c>
      <c r="J37" s="37" t="s">
        <v>51</v>
      </c>
      <c r="K37" s="38">
        <v>9</v>
      </c>
      <c r="L37" s="39" t="s">
        <v>51</v>
      </c>
      <c r="M37" s="40" t="s">
        <v>51</v>
      </c>
      <c r="N37" s="41" t="s">
        <v>696</v>
      </c>
      <c r="O37" s="41" t="s">
        <v>125</v>
      </c>
      <c r="P37" s="42" t="s">
        <v>96</v>
      </c>
      <c r="Q37" s="43" t="s">
        <v>649</v>
      </c>
      <c r="R37" s="44" t="s">
        <v>53</v>
      </c>
      <c r="S37" s="43"/>
      <c r="T37" s="45">
        <v>1</v>
      </c>
      <c r="U37" s="46">
        <v>3</v>
      </c>
      <c r="V37" s="37">
        <f t="shared" si="0"/>
        <v>3</v>
      </c>
      <c r="W37" s="38" t="str">
        <f t="shared" si="1"/>
        <v/>
      </c>
      <c r="X37" s="39" t="str">
        <f t="shared" si="2"/>
        <v/>
      </c>
      <c r="Y37" s="40" t="str">
        <f t="shared" si="3"/>
        <v/>
      </c>
    </row>
    <row r="38" spans="1:25" s="8" customFormat="1" ht="193.8" thickBot="1">
      <c r="A38" s="17"/>
      <c r="B38" s="47">
        <v>22</v>
      </c>
      <c r="C38" s="32" t="s">
        <v>48</v>
      </c>
      <c r="D38" s="33" t="s">
        <v>126</v>
      </c>
      <c r="E38" s="34" t="s">
        <v>127</v>
      </c>
      <c r="F38" s="34" t="s">
        <v>49</v>
      </c>
      <c r="G38" s="33" t="s">
        <v>50</v>
      </c>
      <c r="H38" s="35">
        <v>3</v>
      </c>
      <c r="I38" s="36">
        <v>3</v>
      </c>
      <c r="J38" s="37" t="s">
        <v>51</v>
      </c>
      <c r="K38" s="38">
        <v>9</v>
      </c>
      <c r="L38" s="39" t="s">
        <v>51</v>
      </c>
      <c r="M38" s="40" t="s">
        <v>51</v>
      </c>
      <c r="N38" s="41" t="s">
        <v>667</v>
      </c>
      <c r="O38" s="41" t="s">
        <v>128</v>
      </c>
      <c r="P38" s="42" t="s">
        <v>54</v>
      </c>
      <c r="Q38" s="43" t="s">
        <v>649</v>
      </c>
      <c r="R38" s="44" t="s">
        <v>53</v>
      </c>
      <c r="S38" s="43"/>
      <c r="T38" s="45">
        <v>1</v>
      </c>
      <c r="U38" s="46">
        <v>3</v>
      </c>
      <c r="V38" s="37">
        <f t="shared" si="0"/>
        <v>3</v>
      </c>
      <c r="W38" s="38" t="str">
        <f t="shared" si="1"/>
        <v/>
      </c>
      <c r="X38" s="39" t="str">
        <f t="shared" si="2"/>
        <v/>
      </c>
      <c r="Y38" s="40" t="str">
        <f t="shared" si="3"/>
        <v/>
      </c>
    </row>
    <row r="39" spans="1:25" s="8" customFormat="1" ht="249" thickBot="1">
      <c r="A39" s="17"/>
      <c r="B39" s="31">
        <v>23</v>
      </c>
      <c r="C39" s="32" t="s">
        <v>48</v>
      </c>
      <c r="D39" s="33" t="s">
        <v>129</v>
      </c>
      <c r="E39" s="34" t="s">
        <v>75</v>
      </c>
      <c r="F39" s="34" t="s">
        <v>49</v>
      </c>
      <c r="G39" s="33" t="s">
        <v>50</v>
      </c>
      <c r="H39" s="35">
        <v>3</v>
      </c>
      <c r="I39" s="36">
        <v>3</v>
      </c>
      <c r="J39" s="37" t="s">
        <v>51</v>
      </c>
      <c r="K39" s="38">
        <v>9</v>
      </c>
      <c r="L39" s="39" t="s">
        <v>51</v>
      </c>
      <c r="M39" s="40" t="s">
        <v>51</v>
      </c>
      <c r="N39" s="41" t="s">
        <v>535</v>
      </c>
      <c r="O39" s="41" t="s">
        <v>130</v>
      </c>
      <c r="P39" s="42" t="s">
        <v>96</v>
      </c>
      <c r="Q39" s="43" t="s">
        <v>649</v>
      </c>
      <c r="R39" s="44" t="s">
        <v>53</v>
      </c>
      <c r="S39" s="43"/>
      <c r="T39" s="45">
        <v>1</v>
      </c>
      <c r="U39" s="46">
        <v>3</v>
      </c>
      <c r="V39" s="37">
        <f t="shared" si="0"/>
        <v>3</v>
      </c>
      <c r="W39" s="38" t="str">
        <f t="shared" si="1"/>
        <v/>
      </c>
      <c r="X39" s="39" t="str">
        <f t="shared" si="2"/>
        <v/>
      </c>
      <c r="Y39" s="40" t="str">
        <f t="shared" si="3"/>
        <v/>
      </c>
    </row>
    <row r="40" spans="1:25" s="8" customFormat="1" ht="408.75" customHeight="1" thickBot="1">
      <c r="A40" s="17"/>
      <c r="B40" s="47">
        <v>24</v>
      </c>
      <c r="C40" s="32" t="s">
        <v>48</v>
      </c>
      <c r="D40" s="33" t="s">
        <v>131</v>
      </c>
      <c r="E40" s="34" t="s">
        <v>132</v>
      </c>
      <c r="F40" s="34" t="s">
        <v>49</v>
      </c>
      <c r="G40" s="33" t="s">
        <v>50</v>
      </c>
      <c r="H40" s="35">
        <v>3</v>
      </c>
      <c r="I40" s="36">
        <v>3</v>
      </c>
      <c r="J40" s="37" t="s">
        <v>51</v>
      </c>
      <c r="K40" s="38">
        <v>9</v>
      </c>
      <c r="L40" s="39" t="s">
        <v>51</v>
      </c>
      <c r="M40" s="40" t="s">
        <v>51</v>
      </c>
      <c r="N40" s="41" t="s">
        <v>625</v>
      </c>
      <c r="O40" s="41" t="s">
        <v>133</v>
      </c>
      <c r="P40" s="93" t="s">
        <v>134</v>
      </c>
      <c r="Q40" s="43" t="s">
        <v>649</v>
      </c>
      <c r="R40" s="44" t="s">
        <v>53</v>
      </c>
      <c r="S40" s="43"/>
      <c r="T40" s="45">
        <v>1</v>
      </c>
      <c r="U40" s="46">
        <v>3</v>
      </c>
      <c r="V40" s="37">
        <f t="shared" si="0"/>
        <v>3</v>
      </c>
      <c r="W40" s="38" t="str">
        <f t="shared" si="1"/>
        <v/>
      </c>
      <c r="X40" s="39" t="str">
        <f t="shared" si="2"/>
        <v/>
      </c>
      <c r="Y40" s="40" t="str">
        <f t="shared" si="3"/>
        <v/>
      </c>
    </row>
    <row r="41" spans="1:25" s="8" customFormat="1" ht="85.2" thickBot="1">
      <c r="A41" s="17"/>
      <c r="B41" s="31">
        <v>25</v>
      </c>
      <c r="C41" s="51" t="s">
        <v>48</v>
      </c>
      <c r="D41" s="48" t="s">
        <v>135</v>
      </c>
      <c r="E41" s="34" t="s">
        <v>136</v>
      </c>
      <c r="F41" s="34" t="s">
        <v>49</v>
      </c>
      <c r="G41" s="33" t="s">
        <v>50</v>
      </c>
      <c r="H41" s="35">
        <v>3</v>
      </c>
      <c r="I41" s="36">
        <v>3</v>
      </c>
      <c r="J41" s="37" t="s">
        <v>51</v>
      </c>
      <c r="K41" s="38">
        <v>9</v>
      </c>
      <c r="L41" s="39" t="s">
        <v>51</v>
      </c>
      <c r="M41" s="40" t="s">
        <v>51</v>
      </c>
      <c r="N41" s="34" t="s">
        <v>626</v>
      </c>
      <c r="O41" s="34" t="s">
        <v>137</v>
      </c>
      <c r="P41" s="42" t="s">
        <v>138</v>
      </c>
      <c r="Q41" s="43" t="s">
        <v>649</v>
      </c>
      <c r="R41" s="44" t="s">
        <v>53</v>
      </c>
      <c r="S41" s="43"/>
      <c r="T41" s="45">
        <v>1</v>
      </c>
      <c r="U41" s="46">
        <v>3</v>
      </c>
      <c r="V41" s="37">
        <f t="shared" si="0"/>
        <v>3</v>
      </c>
      <c r="W41" s="38" t="str">
        <f t="shared" si="1"/>
        <v/>
      </c>
      <c r="X41" s="39" t="str">
        <f t="shared" si="2"/>
        <v/>
      </c>
      <c r="Y41" s="40" t="str">
        <f t="shared" si="3"/>
        <v/>
      </c>
    </row>
    <row r="42" spans="1:25" s="8" customFormat="1" ht="85.2" thickBot="1">
      <c r="A42" s="17"/>
      <c r="B42" s="47">
        <v>26</v>
      </c>
      <c r="C42" s="51" t="s">
        <v>48</v>
      </c>
      <c r="D42" s="48" t="s">
        <v>139</v>
      </c>
      <c r="E42" s="34" t="s">
        <v>140</v>
      </c>
      <c r="F42" s="34" t="s">
        <v>49</v>
      </c>
      <c r="G42" s="33" t="s">
        <v>50</v>
      </c>
      <c r="H42" s="35">
        <v>3</v>
      </c>
      <c r="I42" s="36">
        <v>3</v>
      </c>
      <c r="J42" s="37" t="s">
        <v>51</v>
      </c>
      <c r="K42" s="38">
        <v>9</v>
      </c>
      <c r="L42" s="39" t="s">
        <v>51</v>
      </c>
      <c r="M42" s="40" t="s">
        <v>51</v>
      </c>
      <c r="N42" s="34" t="s">
        <v>536</v>
      </c>
      <c r="O42" s="34" t="s">
        <v>141</v>
      </c>
      <c r="P42" s="42" t="s">
        <v>138</v>
      </c>
      <c r="Q42" s="43" t="s">
        <v>649</v>
      </c>
      <c r="R42" s="44" t="s">
        <v>53</v>
      </c>
      <c r="S42" s="43"/>
      <c r="T42" s="45">
        <v>1</v>
      </c>
      <c r="U42" s="46">
        <v>3</v>
      </c>
      <c r="V42" s="37">
        <f t="shared" si="0"/>
        <v>3</v>
      </c>
      <c r="W42" s="38" t="str">
        <f t="shared" si="1"/>
        <v/>
      </c>
      <c r="X42" s="39" t="str">
        <f t="shared" si="2"/>
        <v/>
      </c>
      <c r="Y42" s="40" t="str">
        <f t="shared" si="3"/>
        <v/>
      </c>
    </row>
    <row r="43" spans="1:25" s="8" customFormat="1" ht="226.2" thickBot="1">
      <c r="A43" s="17"/>
      <c r="B43" s="31">
        <v>27</v>
      </c>
      <c r="C43" s="51" t="s">
        <v>48</v>
      </c>
      <c r="D43" s="41" t="s">
        <v>143</v>
      </c>
      <c r="E43" s="34" t="s">
        <v>144</v>
      </c>
      <c r="F43" s="34" t="s">
        <v>49</v>
      </c>
      <c r="G43" s="33" t="s">
        <v>50</v>
      </c>
      <c r="H43" s="35">
        <v>3</v>
      </c>
      <c r="I43" s="36">
        <v>3</v>
      </c>
      <c r="J43" s="37" t="s">
        <v>51</v>
      </c>
      <c r="K43" s="38">
        <v>9</v>
      </c>
      <c r="L43" s="39" t="s">
        <v>51</v>
      </c>
      <c r="M43" s="40" t="s">
        <v>51</v>
      </c>
      <c r="N43" s="41" t="s">
        <v>537</v>
      </c>
      <c r="O43" s="41" t="s">
        <v>145</v>
      </c>
      <c r="P43" s="42" t="s">
        <v>57</v>
      </c>
      <c r="Q43" s="43" t="s">
        <v>649</v>
      </c>
      <c r="R43" s="44" t="s">
        <v>53</v>
      </c>
      <c r="S43" s="43"/>
      <c r="T43" s="45">
        <v>1</v>
      </c>
      <c r="U43" s="46">
        <v>3</v>
      </c>
      <c r="V43" s="37">
        <f t="shared" si="0"/>
        <v>3</v>
      </c>
      <c r="W43" s="38" t="str">
        <f t="shared" si="1"/>
        <v/>
      </c>
      <c r="X43" s="39" t="str">
        <f t="shared" si="2"/>
        <v/>
      </c>
      <c r="Y43" s="40" t="str">
        <f t="shared" si="3"/>
        <v/>
      </c>
    </row>
    <row r="44" spans="1:25" s="8" customFormat="1" ht="254.4" thickBot="1">
      <c r="A44" s="17"/>
      <c r="B44" s="47">
        <v>28</v>
      </c>
      <c r="C44" s="51" t="s">
        <v>48</v>
      </c>
      <c r="D44" s="48" t="s">
        <v>146</v>
      </c>
      <c r="E44" s="48" t="s">
        <v>147</v>
      </c>
      <c r="F44" s="34" t="s">
        <v>49</v>
      </c>
      <c r="G44" s="33" t="s">
        <v>50</v>
      </c>
      <c r="H44" s="35">
        <v>3</v>
      </c>
      <c r="I44" s="36">
        <v>3</v>
      </c>
      <c r="J44" s="37" t="s">
        <v>51</v>
      </c>
      <c r="K44" s="38">
        <v>9</v>
      </c>
      <c r="L44" s="39" t="s">
        <v>51</v>
      </c>
      <c r="M44" s="40" t="s">
        <v>51</v>
      </c>
      <c r="N44" s="34" t="s">
        <v>538</v>
      </c>
      <c r="O44" s="34" t="s">
        <v>148</v>
      </c>
      <c r="P44" s="42" t="s">
        <v>142</v>
      </c>
      <c r="Q44" s="43" t="s">
        <v>649</v>
      </c>
      <c r="R44" s="44" t="s">
        <v>53</v>
      </c>
      <c r="S44" s="43"/>
      <c r="T44" s="45">
        <v>1</v>
      </c>
      <c r="U44" s="46">
        <v>3</v>
      </c>
      <c r="V44" s="37">
        <f t="shared" si="0"/>
        <v>3</v>
      </c>
      <c r="W44" s="38" t="str">
        <f t="shared" si="1"/>
        <v/>
      </c>
      <c r="X44" s="39" t="str">
        <f t="shared" si="2"/>
        <v/>
      </c>
      <c r="Y44" s="40" t="str">
        <f t="shared" si="3"/>
        <v/>
      </c>
    </row>
    <row r="45" spans="1:25" s="8" customFormat="1" ht="113.4" thickBot="1">
      <c r="A45" s="17"/>
      <c r="B45" s="31">
        <v>29</v>
      </c>
      <c r="C45" s="51" t="s">
        <v>48</v>
      </c>
      <c r="D45" s="34" t="s">
        <v>149</v>
      </c>
      <c r="E45" s="48" t="s">
        <v>150</v>
      </c>
      <c r="F45" s="34" t="s">
        <v>49</v>
      </c>
      <c r="G45" s="33" t="s">
        <v>50</v>
      </c>
      <c r="H45" s="35">
        <v>3</v>
      </c>
      <c r="I45" s="36">
        <v>3</v>
      </c>
      <c r="J45" s="37" t="s">
        <v>51</v>
      </c>
      <c r="K45" s="38">
        <v>9</v>
      </c>
      <c r="L45" s="39" t="s">
        <v>51</v>
      </c>
      <c r="M45" s="40" t="s">
        <v>51</v>
      </c>
      <c r="N45" s="34" t="s">
        <v>655</v>
      </c>
      <c r="O45" s="34" t="s">
        <v>151</v>
      </c>
      <c r="P45" s="42" t="s">
        <v>152</v>
      </c>
      <c r="Q45" s="43" t="s">
        <v>650</v>
      </c>
      <c r="R45" s="44" t="s">
        <v>53</v>
      </c>
      <c r="S45" s="43"/>
      <c r="T45" s="45">
        <v>3</v>
      </c>
      <c r="U45" s="46">
        <v>3</v>
      </c>
      <c r="V45" s="37" t="str">
        <f t="shared" si="0"/>
        <v/>
      </c>
      <c r="W45" s="38">
        <f t="shared" si="1"/>
        <v>9</v>
      </c>
      <c r="X45" s="39" t="str">
        <f t="shared" si="2"/>
        <v/>
      </c>
      <c r="Y45" s="40" t="str">
        <f t="shared" si="3"/>
        <v/>
      </c>
    </row>
    <row r="46" spans="1:25" s="8" customFormat="1" ht="141.6" thickBot="1">
      <c r="A46" s="17"/>
      <c r="B46" s="47">
        <v>30</v>
      </c>
      <c r="C46" s="51" t="s">
        <v>48</v>
      </c>
      <c r="D46" s="48" t="s">
        <v>153</v>
      </c>
      <c r="E46" s="48" t="s">
        <v>154</v>
      </c>
      <c r="F46" s="34" t="s">
        <v>49</v>
      </c>
      <c r="G46" s="33" t="s">
        <v>50</v>
      </c>
      <c r="H46" s="35">
        <v>3</v>
      </c>
      <c r="I46" s="36">
        <v>3</v>
      </c>
      <c r="J46" s="37" t="s">
        <v>51</v>
      </c>
      <c r="K46" s="38">
        <v>9</v>
      </c>
      <c r="L46" s="39" t="s">
        <v>51</v>
      </c>
      <c r="M46" s="40" t="s">
        <v>51</v>
      </c>
      <c r="N46" s="34" t="s">
        <v>539</v>
      </c>
      <c r="O46" s="34" t="s">
        <v>155</v>
      </c>
      <c r="P46" s="50" t="s">
        <v>142</v>
      </c>
      <c r="Q46" s="43" t="s">
        <v>649</v>
      </c>
      <c r="R46" s="44" t="s">
        <v>53</v>
      </c>
      <c r="S46" s="43"/>
      <c r="T46" s="45">
        <v>1</v>
      </c>
      <c r="U46" s="46">
        <v>3</v>
      </c>
      <c r="V46" s="37">
        <f t="shared" si="0"/>
        <v>3</v>
      </c>
      <c r="W46" s="38" t="str">
        <f t="shared" si="1"/>
        <v/>
      </c>
      <c r="X46" s="39" t="str">
        <f t="shared" si="2"/>
        <v/>
      </c>
      <c r="Y46" s="40" t="str">
        <f t="shared" si="3"/>
        <v/>
      </c>
    </row>
    <row r="47" spans="1:25" s="8" customFormat="1" ht="113.4" thickBot="1">
      <c r="A47" s="17"/>
      <c r="B47" s="31">
        <v>31</v>
      </c>
      <c r="C47" s="52" t="s">
        <v>48</v>
      </c>
      <c r="D47" s="34" t="s">
        <v>156</v>
      </c>
      <c r="E47" s="34" t="s">
        <v>157</v>
      </c>
      <c r="F47" s="34" t="s">
        <v>49</v>
      </c>
      <c r="G47" s="33" t="s">
        <v>50</v>
      </c>
      <c r="H47" s="35">
        <v>3</v>
      </c>
      <c r="I47" s="36">
        <v>3</v>
      </c>
      <c r="J47" s="37" t="s">
        <v>51</v>
      </c>
      <c r="K47" s="38">
        <v>9</v>
      </c>
      <c r="L47" s="39" t="s">
        <v>51</v>
      </c>
      <c r="M47" s="40" t="s">
        <v>51</v>
      </c>
      <c r="N47" s="34" t="s">
        <v>540</v>
      </c>
      <c r="O47" s="34" t="s">
        <v>158</v>
      </c>
      <c r="P47" s="42" t="s">
        <v>159</v>
      </c>
      <c r="Q47" s="43" t="s">
        <v>649</v>
      </c>
      <c r="R47" s="44" t="s">
        <v>53</v>
      </c>
      <c r="S47" s="43"/>
      <c r="T47" s="45">
        <v>1</v>
      </c>
      <c r="U47" s="46">
        <v>3</v>
      </c>
      <c r="V47" s="37">
        <f t="shared" si="0"/>
        <v>3</v>
      </c>
      <c r="W47" s="38" t="str">
        <f t="shared" si="1"/>
        <v/>
      </c>
      <c r="X47" s="39" t="str">
        <f t="shared" si="2"/>
        <v/>
      </c>
      <c r="Y47" s="40" t="str">
        <f t="shared" si="3"/>
        <v/>
      </c>
    </row>
    <row r="48" spans="1:25" s="8" customFormat="1" ht="279" customHeight="1" thickBot="1">
      <c r="A48" s="17"/>
      <c r="B48" s="47">
        <v>32</v>
      </c>
      <c r="C48" s="51" t="s">
        <v>48</v>
      </c>
      <c r="D48" s="41" t="s">
        <v>160</v>
      </c>
      <c r="E48" s="34" t="s">
        <v>94</v>
      </c>
      <c r="F48" s="34" t="s">
        <v>49</v>
      </c>
      <c r="G48" s="33" t="s">
        <v>50</v>
      </c>
      <c r="H48" s="35">
        <v>3</v>
      </c>
      <c r="I48" s="36">
        <v>3</v>
      </c>
      <c r="J48" s="37" t="s">
        <v>51</v>
      </c>
      <c r="K48" s="38">
        <v>9</v>
      </c>
      <c r="L48" s="39" t="s">
        <v>51</v>
      </c>
      <c r="M48" s="40" t="s">
        <v>51</v>
      </c>
      <c r="N48" s="41" t="s">
        <v>656</v>
      </c>
      <c r="O48" s="34" t="s">
        <v>161</v>
      </c>
      <c r="P48" s="42" t="s">
        <v>96</v>
      </c>
      <c r="Q48" s="43" t="s">
        <v>649</v>
      </c>
      <c r="R48" s="44" t="s">
        <v>53</v>
      </c>
      <c r="S48" s="43"/>
      <c r="T48" s="45">
        <v>1</v>
      </c>
      <c r="U48" s="46">
        <v>3</v>
      </c>
      <c r="V48" s="37">
        <f t="shared" si="0"/>
        <v>3</v>
      </c>
      <c r="W48" s="38" t="str">
        <f t="shared" si="1"/>
        <v/>
      </c>
      <c r="X48" s="39" t="str">
        <f t="shared" si="2"/>
        <v/>
      </c>
      <c r="Y48" s="40" t="str">
        <f t="shared" si="3"/>
        <v/>
      </c>
    </row>
    <row r="49" spans="1:25" s="8" customFormat="1" ht="408.75" customHeight="1" thickBot="1">
      <c r="A49" s="17"/>
      <c r="B49" s="31">
        <v>33</v>
      </c>
      <c r="C49" s="51" t="s">
        <v>48</v>
      </c>
      <c r="D49" s="41" t="s">
        <v>162</v>
      </c>
      <c r="E49" s="34" t="s">
        <v>163</v>
      </c>
      <c r="F49" s="34" t="s">
        <v>49</v>
      </c>
      <c r="G49" s="33" t="s">
        <v>50</v>
      </c>
      <c r="H49" s="35">
        <v>3</v>
      </c>
      <c r="I49" s="36">
        <v>3</v>
      </c>
      <c r="J49" s="37" t="s">
        <v>51</v>
      </c>
      <c r="K49" s="38">
        <v>9</v>
      </c>
      <c r="L49" s="39" t="s">
        <v>51</v>
      </c>
      <c r="M49" s="40"/>
      <c r="N49" s="41" t="s">
        <v>627</v>
      </c>
      <c r="O49" s="43" t="s">
        <v>164</v>
      </c>
      <c r="P49" s="100" t="s">
        <v>165</v>
      </c>
      <c r="Q49" s="43" t="s">
        <v>650</v>
      </c>
      <c r="R49" s="44" t="s">
        <v>53</v>
      </c>
      <c r="S49" s="43"/>
      <c r="T49" s="45">
        <v>3</v>
      </c>
      <c r="U49" s="46">
        <v>3</v>
      </c>
      <c r="V49" s="37" t="str">
        <f t="shared" si="0"/>
        <v/>
      </c>
      <c r="W49" s="38">
        <f t="shared" si="1"/>
        <v>9</v>
      </c>
      <c r="X49" s="39" t="str">
        <f t="shared" si="2"/>
        <v/>
      </c>
      <c r="Y49" s="40" t="str">
        <f t="shared" si="3"/>
        <v/>
      </c>
    </row>
    <row r="50" spans="1:25" s="8" customFormat="1" ht="138.6" thickBot="1">
      <c r="A50" s="17"/>
      <c r="B50" s="47">
        <v>34</v>
      </c>
      <c r="C50" s="51" t="s">
        <v>48</v>
      </c>
      <c r="D50" s="41" t="s">
        <v>166</v>
      </c>
      <c r="E50" s="41" t="s">
        <v>75</v>
      </c>
      <c r="F50" s="34" t="s">
        <v>49</v>
      </c>
      <c r="G50" s="33" t="s">
        <v>50</v>
      </c>
      <c r="H50" s="35">
        <v>3</v>
      </c>
      <c r="I50" s="36">
        <v>3</v>
      </c>
      <c r="J50" s="37" t="s">
        <v>51</v>
      </c>
      <c r="K50" s="38">
        <v>9</v>
      </c>
      <c r="L50" s="39" t="s">
        <v>51</v>
      </c>
      <c r="M50" s="40" t="s">
        <v>51</v>
      </c>
      <c r="N50" s="34" t="s">
        <v>541</v>
      </c>
      <c r="O50" s="34" t="s">
        <v>167</v>
      </c>
      <c r="P50" s="50" t="s">
        <v>57</v>
      </c>
      <c r="Q50" s="43" t="s">
        <v>649</v>
      </c>
      <c r="R50" s="44" t="s">
        <v>53</v>
      </c>
      <c r="S50" s="43"/>
      <c r="T50" s="45">
        <v>1</v>
      </c>
      <c r="U50" s="46">
        <v>3</v>
      </c>
      <c r="V50" s="37">
        <f t="shared" si="0"/>
        <v>3</v>
      </c>
      <c r="W50" s="38" t="str">
        <f t="shared" si="1"/>
        <v/>
      </c>
      <c r="X50" s="39" t="str">
        <f t="shared" si="2"/>
        <v/>
      </c>
      <c r="Y50" s="40" t="str">
        <f t="shared" si="3"/>
        <v/>
      </c>
    </row>
    <row r="51" spans="1:25" s="8" customFormat="1" ht="331.8" thickBot="1">
      <c r="A51" s="17"/>
      <c r="B51" s="31">
        <v>35</v>
      </c>
      <c r="C51" s="51" t="s">
        <v>48</v>
      </c>
      <c r="D51" s="34" t="s">
        <v>168</v>
      </c>
      <c r="E51" s="34" t="s">
        <v>169</v>
      </c>
      <c r="F51" s="34" t="s">
        <v>49</v>
      </c>
      <c r="G51" s="33" t="s">
        <v>170</v>
      </c>
      <c r="H51" s="35">
        <v>3</v>
      </c>
      <c r="I51" s="36">
        <v>3</v>
      </c>
      <c r="J51" s="37" t="s">
        <v>51</v>
      </c>
      <c r="K51" s="38">
        <v>9</v>
      </c>
      <c r="L51" s="39" t="s">
        <v>51</v>
      </c>
      <c r="M51" s="40" t="s">
        <v>51</v>
      </c>
      <c r="N51" s="34" t="s">
        <v>542</v>
      </c>
      <c r="O51" s="34" t="s">
        <v>171</v>
      </c>
      <c r="P51" s="50" t="s">
        <v>172</v>
      </c>
      <c r="Q51" s="43" t="s">
        <v>649</v>
      </c>
      <c r="R51" s="44" t="s">
        <v>53</v>
      </c>
      <c r="S51" s="43"/>
      <c r="T51" s="45">
        <v>1</v>
      </c>
      <c r="U51" s="46">
        <v>3</v>
      </c>
      <c r="V51" s="37">
        <f t="shared" si="0"/>
        <v>3</v>
      </c>
      <c r="W51" s="38" t="str">
        <f t="shared" si="1"/>
        <v/>
      </c>
      <c r="X51" s="39" t="str">
        <f t="shared" si="2"/>
        <v/>
      </c>
      <c r="Y51" s="40" t="str">
        <f t="shared" si="3"/>
        <v/>
      </c>
    </row>
    <row r="52" spans="1:25" s="8" customFormat="1" ht="249" thickBot="1">
      <c r="A52" s="17"/>
      <c r="B52" s="47">
        <v>36</v>
      </c>
      <c r="C52" s="51" t="s">
        <v>48</v>
      </c>
      <c r="D52" s="41" t="s">
        <v>173</v>
      </c>
      <c r="E52" s="41" t="s">
        <v>174</v>
      </c>
      <c r="F52" s="34" t="s">
        <v>49</v>
      </c>
      <c r="G52" s="33" t="s">
        <v>50</v>
      </c>
      <c r="H52" s="35">
        <v>3</v>
      </c>
      <c r="I52" s="36">
        <v>3</v>
      </c>
      <c r="J52" s="37" t="s">
        <v>51</v>
      </c>
      <c r="K52" s="38">
        <v>9</v>
      </c>
      <c r="L52" s="39" t="s">
        <v>51</v>
      </c>
      <c r="M52" s="40" t="s">
        <v>51</v>
      </c>
      <c r="N52" s="41" t="s">
        <v>543</v>
      </c>
      <c r="O52" s="34" t="s">
        <v>175</v>
      </c>
      <c r="P52" s="50" t="s">
        <v>96</v>
      </c>
      <c r="Q52" s="43" t="s">
        <v>649</v>
      </c>
      <c r="R52" s="44" t="s">
        <v>53</v>
      </c>
      <c r="S52" s="43"/>
      <c r="T52" s="45">
        <v>1</v>
      </c>
      <c r="U52" s="46">
        <v>3</v>
      </c>
      <c r="V52" s="37">
        <f t="shared" si="0"/>
        <v>3</v>
      </c>
      <c r="W52" s="38" t="str">
        <f t="shared" si="1"/>
        <v/>
      </c>
      <c r="X52" s="39" t="str">
        <f t="shared" si="2"/>
        <v/>
      </c>
      <c r="Y52" s="40" t="str">
        <f t="shared" si="3"/>
        <v/>
      </c>
    </row>
    <row r="53" spans="1:25" s="8" customFormat="1" ht="166.2" thickBot="1">
      <c r="A53" s="17"/>
      <c r="B53" s="31">
        <v>37</v>
      </c>
      <c r="C53" s="52" t="s">
        <v>48</v>
      </c>
      <c r="D53" s="34" t="s">
        <v>177</v>
      </c>
      <c r="E53" s="34" t="s">
        <v>147</v>
      </c>
      <c r="F53" s="34" t="s">
        <v>49</v>
      </c>
      <c r="G53" s="33" t="s">
        <v>50</v>
      </c>
      <c r="H53" s="35">
        <v>3</v>
      </c>
      <c r="I53" s="36">
        <v>3</v>
      </c>
      <c r="J53" s="37" t="s">
        <v>51</v>
      </c>
      <c r="K53" s="38">
        <v>9</v>
      </c>
      <c r="L53" s="39" t="s">
        <v>51</v>
      </c>
      <c r="M53" s="40" t="s">
        <v>51</v>
      </c>
      <c r="N53" s="34" t="s">
        <v>544</v>
      </c>
      <c r="O53" s="34" t="s">
        <v>178</v>
      </c>
      <c r="P53" s="50" t="s">
        <v>179</v>
      </c>
      <c r="Q53" s="43" t="s">
        <v>649</v>
      </c>
      <c r="R53" s="44" t="s">
        <v>53</v>
      </c>
      <c r="S53" s="43"/>
      <c r="T53" s="45">
        <v>1</v>
      </c>
      <c r="U53" s="46">
        <v>3</v>
      </c>
      <c r="V53" s="37">
        <f t="shared" si="0"/>
        <v>3</v>
      </c>
      <c r="W53" s="38" t="str">
        <f t="shared" si="1"/>
        <v/>
      </c>
      <c r="X53" s="39" t="str">
        <f t="shared" si="2"/>
        <v/>
      </c>
      <c r="Y53" s="40" t="str">
        <f t="shared" si="3"/>
        <v/>
      </c>
    </row>
    <row r="54" spans="1:25" s="8" customFormat="1" ht="138.6" thickBot="1">
      <c r="A54" s="17"/>
      <c r="B54" s="47">
        <v>38</v>
      </c>
      <c r="C54" s="51" t="s">
        <v>48</v>
      </c>
      <c r="D54" s="34" t="s">
        <v>180</v>
      </c>
      <c r="E54" s="34" t="s">
        <v>94</v>
      </c>
      <c r="F54" s="34" t="s">
        <v>49</v>
      </c>
      <c r="G54" s="33" t="s">
        <v>50</v>
      </c>
      <c r="H54" s="35">
        <v>3</v>
      </c>
      <c r="I54" s="36">
        <v>3</v>
      </c>
      <c r="J54" s="37" t="s">
        <v>51</v>
      </c>
      <c r="K54" s="38">
        <v>9</v>
      </c>
      <c r="L54" s="39" t="s">
        <v>51</v>
      </c>
      <c r="M54" s="40" t="s">
        <v>51</v>
      </c>
      <c r="N54" s="34" t="s">
        <v>545</v>
      </c>
      <c r="O54" s="34" t="s">
        <v>181</v>
      </c>
      <c r="P54" s="42" t="s">
        <v>57</v>
      </c>
      <c r="Q54" s="43" t="s">
        <v>649</v>
      </c>
      <c r="R54" s="44" t="s">
        <v>53</v>
      </c>
      <c r="S54" s="43"/>
      <c r="T54" s="45">
        <v>1</v>
      </c>
      <c r="U54" s="46">
        <v>3</v>
      </c>
      <c r="V54" s="37">
        <f t="shared" si="0"/>
        <v>3</v>
      </c>
      <c r="W54" s="38" t="str">
        <f t="shared" si="1"/>
        <v/>
      </c>
      <c r="X54" s="39" t="str">
        <f t="shared" si="2"/>
        <v/>
      </c>
      <c r="Y54" s="40" t="str">
        <f t="shared" si="3"/>
        <v/>
      </c>
    </row>
    <row r="55" spans="1:25" s="8" customFormat="1" ht="169.8" thickBot="1">
      <c r="A55" s="17"/>
      <c r="B55" s="31">
        <v>39</v>
      </c>
      <c r="C55" s="51" t="s">
        <v>48</v>
      </c>
      <c r="D55" s="34" t="s">
        <v>182</v>
      </c>
      <c r="E55" s="48" t="s">
        <v>147</v>
      </c>
      <c r="F55" s="34" t="s">
        <v>49</v>
      </c>
      <c r="G55" s="33" t="s">
        <v>50</v>
      </c>
      <c r="H55" s="35">
        <v>3</v>
      </c>
      <c r="I55" s="36">
        <v>3</v>
      </c>
      <c r="J55" s="37" t="s">
        <v>51</v>
      </c>
      <c r="K55" s="38">
        <v>9</v>
      </c>
      <c r="L55" s="39" t="s">
        <v>51</v>
      </c>
      <c r="M55" s="40" t="s">
        <v>51</v>
      </c>
      <c r="N55" s="34" t="s">
        <v>546</v>
      </c>
      <c r="O55" s="34" t="s">
        <v>183</v>
      </c>
      <c r="P55" s="42" t="s">
        <v>57</v>
      </c>
      <c r="Q55" s="43" t="s">
        <v>649</v>
      </c>
      <c r="R55" s="44" t="s">
        <v>53</v>
      </c>
      <c r="S55" s="43"/>
      <c r="T55" s="45">
        <v>1</v>
      </c>
      <c r="U55" s="46">
        <v>3</v>
      </c>
      <c r="V55" s="37">
        <f t="shared" si="0"/>
        <v>3</v>
      </c>
      <c r="W55" s="38" t="str">
        <f t="shared" si="1"/>
        <v/>
      </c>
      <c r="X55" s="39" t="str">
        <f t="shared" si="2"/>
        <v/>
      </c>
      <c r="Y55" s="40" t="str">
        <f t="shared" si="3"/>
        <v/>
      </c>
    </row>
    <row r="56" spans="1:25" s="8" customFormat="1" ht="141.6" thickBot="1">
      <c r="A56" s="17"/>
      <c r="B56" s="47">
        <v>40</v>
      </c>
      <c r="C56" s="52" t="s">
        <v>48</v>
      </c>
      <c r="D56" s="34" t="s">
        <v>184</v>
      </c>
      <c r="E56" s="34" t="s">
        <v>121</v>
      </c>
      <c r="F56" s="34" t="s">
        <v>49</v>
      </c>
      <c r="G56" s="33" t="s">
        <v>50</v>
      </c>
      <c r="H56" s="35">
        <v>3</v>
      </c>
      <c r="I56" s="36">
        <v>3</v>
      </c>
      <c r="J56" s="37" t="s">
        <v>51</v>
      </c>
      <c r="K56" s="38">
        <v>9</v>
      </c>
      <c r="L56" s="39" t="s">
        <v>51</v>
      </c>
      <c r="M56" s="40" t="s">
        <v>51</v>
      </c>
      <c r="N56" s="34" t="s">
        <v>547</v>
      </c>
      <c r="O56" s="41" t="s">
        <v>185</v>
      </c>
      <c r="P56" s="42" t="s">
        <v>57</v>
      </c>
      <c r="Q56" s="43" t="s">
        <v>649</v>
      </c>
      <c r="R56" s="44" t="s">
        <v>53</v>
      </c>
      <c r="S56" s="43"/>
      <c r="T56" s="45">
        <v>1</v>
      </c>
      <c r="U56" s="46">
        <v>3</v>
      </c>
      <c r="V56" s="37">
        <f t="shared" si="0"/>
        <v>3</v>
      </c>
      <c r="W56" s="38" t="str">
        <f t="shared" si="1"/>
        <v/>
      </c>
      <c r="X56" s="39" t="str">
        <f t="shared" si="2"/>
        <v/>
      </c>
      <c r="Y56" s="40" t="str">
        <f t="shared" si="3"/>
        <v/>
      </c>
    </row>
    <row r="57" spans="1:25" s="8" customFormat="1" ht="249" thickBot="1">
      <c r="A57" s="17"/>
      <c r="B57" s="31">
        <v>41</v>
      </c>
      <c r="C57" s="52" t="s">
        <v>48</v>
      </c>
      <c r="D57" s="34" t="s">
        <v>186</v>
      </c>
      <c r="E57" s="34" t="s">
        <v>187</v>
      </c>
      <c r="F57" s="34" t="s">
        <v>49</v>
      </c>
      <c r="G57" s="33" t="s">
        <v>50</v>
      </c>
      <c r="H57" s="35">
        <v>3</v>
      </c>
      <c r="I57" s="36">
        <v>3</v>
      </c>
      <c r="J57" s="37" t="s">
        <v>51</v>
      </c>
      <c r="K57" s="38">
        <v>9</v>
      </c>
      <c r="L57" s="39" t="s">
        <v>51</v>
      </c>
      <c r="M57" s="40" t="s">
        <v>51</v>
      </c>
      <c r="N57" s="34" t="s">
        <v>548</v>
      </c>
      <c r="O57" s="41" t="s">
        <v>188</v>
      </c>
      <c r="P57" s="42" t="s">
        <v>96</v>
      </c>
      <c r="Q57" s="43" t="s">
        <v>650</v>
      </c>
      <c r="R57" s="44" t="s">
        <v>53</v>
      </c>
      <c r="S57" s="43"/>
      <c r="T57" s="45">
        <v>3</v>
      </c>
      <c r="U57" s="46">
        <v>3</v>
      </c>
      <c r="V57" s="37" t="str">
        <f t="shared" si="0"/>
        <v/>
      </c>
      <c r="W57" s="38">
        <f t="shared" si="1"/>
        <v>9</v>
      </c>
      <c r="X57" s="39" t="str">
        <f t="shared" si="2"/>
        <v/>
      </c>
      <c r="Y57" s="40" t="str">
        <f t="shared" si="3"/>
        <v/>
      </c>
    </row>
    <row r="58" spans="1:25" s="8" customFormat="1" ht="198" thickBot="1">
      <c r="A58" s="17"/>
      <c r="B58" s="47">
        <v>42</v>
      </c>
      <c r="C58" s="52" t="s">
        <v>48</v>
      </c>
      <c r="D58" s="34" t="s">
        <v>189</v>
      </c>
      <c r="E58" s="34" t="s">
        <v>190</v>
      </c>
      <c r="F58" s="34" t="s">
        <v>49</v>
      </c>
      <c r="G58" s="33" t="s">
        <v>50</v>
      </c>
      <c r="H58" s="35">
        <v>3</v>
      </c>
      <c r="I58" s="36">
        <v>3</v>
      </c>
      <c r="J58" s="37" t="s">
        <v>51</v>
      </c>
      <c r="K58" s="38">
        <v>9</v>
      </c>
      <c r="L58" s="39" t="s">
        <v>51</v>
      </c>
      <c r="M58" s="40" t="s">
        <v>51</v>
      </c>
      <c r="N58" s="34" t="s">
        <v>697</v>
      </c>
      <c r="O58" s="41" t="s">
        <v>191</v>
      </c>
      <c r="P58" s="42" t="s">
        <v>142</v>
      </c>
      <c r="Q58" s="43" t="s">
        <v>650</v>
      </c>
      <c r="R58" s="44" t="s">
        <v>53</v>
      </c>
      <c r="S58" s="43"/>
      <c r="T58" s="45">
        <v>3</v>
      </c>
      <c r="U58" s="46">
        <v>3</v>
      </c>
      <c r="V58" s="37" t="str">
        <f t="shared" si="4" ref="V58:V91">IF(U58*T58&lt;=4,U58*T58,"")</f>
        <v/>
      </c>
      <c r="W58" s="38">
        <f t="shared" si="5" ref="W58:W91">IF(AND(U58*T58&gt;=5,U58*T58&lt;10),U58*T58,"")</f>
        <v>9</v>
      </c>
      <c r="X58" s="39" t="str">
        <f t="shared" si="6" ref="X58:X91">IF(AND(U58*T58&gt;=10,U58*T58&lt;=15),U58*T58,"")</f>
        <v/>
      </c>
      <c r="Y58" s="40" t="str">
        <f t="shared" si="7" ref="Y58:Y91">IF(U58*T58&gt;=16,U58*T58,"")</f>
        <v/>
      </c>
    </row>
    <row r="59" spans="1:25" s="8" customFormat="1" ht="249" thickBot="1">
      <c r="A59" s="17"/>
      <c r="B59" s="31">
        <v>43</v>
      </c>
      <c r="C59" s="52" t="s">
        <v>48</v>
      </c>
      <c r="D59" s="34" t="s">
        <v>192</v>
      </c>
      <c r="E59" s="34" t="s">
        <v>121</v>
      </c>
      <c r="F59" s="34" t="s">
        <v>49</v>
      </c>
      <c r="G59" s="33" t="s">
        <v>50</v>
      </c>
      <c r="H59" s="35">
        <v>3</v>
      </c>
      <c r="I59" s="36">
        <v>3</v>
      </c>
      <c r="J59" s="37" t="s">
        <v>51</v>
      </c>
      <c r="K59" s="38">
        <v>9</v>
      </c>
      <c r="L59" s="39" t="s">
        <v>51</v>
      </c>
      <c r="M59" s="40" t="s">
        <v>51</v>
      </c>
      <c r="N59" s="34" t="s">
        <v>549</v>
      </c>
      <c r="O59" s="41" t="s">
        <v>193</v>
      </c>
      <c r="P59" s="42" t="s">
        <v>96</v>
      </c>
      <c r="Q59" s="43" t="s">
        <v>650</v>
      </c>
      <c r="R59" s="44" t="s">
        <v>53</v>
      </c>
      <c r="S59" s="43"/>
      <c r="T59" s="45">
        <v>3</v>
      </c>
      <c r="U59" s="46">
        <v>3</v>
      </c>
      <c r="V59" s="37" t="str">
        <f t="shared" si="4"/>
        <v/>
      </c>
      <c r="W59" s="38">
        <f t="shared" si="5"/>
        <v>9</v>
      </c>
      <c r="X59" s="39" t="str">
        <f t="shared" si="6"/>
        <v/>
      </c>
      <c r="Y59" s="40" t="str">
        <f t="shared" si="7"/>
        <v/>
      </c>
    </row>
    <row r="60" spans="1:25" s="8" customFormat="1" ht="408.75" customHeight="1" thickBot="1">
      <c r="A60" s="17"/>
      <c r="B60" s="47">
        <v>44</v>
      </c>
      <c r="C60" s="52" t="s">
        <v>48</v>
      </c>
      <c r="D60" s="34" t="s">
        <v>194</v>
      </c>
      <c r="E60" s="34" t="s">
        <v>195</v>
      </c>
      <c r="F60" s="34" t="s">
        <v>49</v>
      </c>
      <c r="G60" s="33" t="s">
        <v>50</v>
      </c>
      <c r="H60" s="35">
        <v>2</v>
      </c>
      <c r="I60" s="36">
        <v>4</v>
      </c>
      <c r="J60" s="37" t="s">
        <v>51</v>
      </c>
      <c r="K60" s="38">
        <v>8</v>
      </c>
      <c r="L60" s="39" t="s">
        <v>51</v>
      </c>
      <c r="M60" s="40" t="s">
        <v>51</v>
      </c>
      <c r="N60" s="34" t="s">
        <v>698</v>
      </c>
      <c r="O60" s="34" t="s">
        <v>196</v>
      </c>
      <c r="P60" s="101" t="s">
        <v>197</v>
      </c>
      <c r="Q60" s="43" t="s">
        <v>650</v>
      </c>
      <c r="R60" s="44" t="s">
        <v>53</v>
      </c>
      <c r="S60" s="43"/>
      <c r="T60" s="45">
        <v>2</v>
      </c>
      <c r="U60" s="46">
        <v>4</v>
      </c>
      <c r="V60" s="37" t="str">
        <f t="shared" si="4"/>
        <v/>
      </c>
      <c r="W60" s="38">
        <f t="shared" si="5"/>
        <v>8</v>
      </c>
      <c r="X60" s="39" t="str">
        <f t="shared" si="6"/>
        <v/>
      </c>
      <c r="Y60" s="40" t="str">
        <f t="shared" si="7"/>
        <v/>
      </c>
    </row>
    <row r="61" spans="1:25" s="8" customFormat="1" ht="296.4" thickBot="1">
      <c r="A61" s="17"/>
      <c r="B61" s="31">
        <v>45</v>
      </c>
      <c r="C61" s="32" t="s">
        <v>48</v>
      </c>
      <c r="D61" s="48" t="s">
        <v>198</v>
      </c>
      <c r="E61" s="48" t="s">
        <v>199</v>
      </c>
      <c r="F61" s="34" t="s">
        <v>49</v>
      </c>
      <c r="G61" s="33" t="s">
        <v>50</v>
      </c>
      <c r="H61" s="35">
        <v>2</v>
      </c>
      <c r="I61" s="36">
        <v>4</v>
      </c>
      <c r="J61" s="37" t="s">
        <v>51</v>
      </c>
      <c r="K61" s="38">
        <v>8</v>
      </c>
      <c r="L61" s="39" t="s">
        <v>51</v>
      </c>
      <c r="M61" s="40" t="s">
        <v>51</v>
      </c>
      <c r="N61" s="48" t="s">
        <v>550</v>
      </c>
      <c r="O61" s="34" t="s">
        <v>200</v>
      </c>
      <c r="P61" s="97" t="s">
        <v>201</v>
      </c>
      <c r="Q61" s="43" t="s">
        <v>650</v>
      </c>
      <c r="R61" s="44" t="s">
        <v>53</v>
      </c>
      <c r="S61" s="43"/>
      <c r="T61" s="45">
        <v>1</v>
      </c>
      <c r="U61" s="46">
        <v>4</v>
      </c>
      <c r="V61" s="37">
        <f t="shared" si="4"/>
        <v>4</v>
      </c>
      <c r="W61" s="38" t="str">
        <f t="shared" si="5"/>
        <v/>
      </c>
      <c r="X61" s="39" t="str">
        <f t="shared" si="6"/>
        <v/>
      </c>
      <c r="Y61" s="40" t="str">
        <f t="shared" si="7"/>
        <v/>
      </c>
    </row>
    <row r="62" spans="1:25" s="8" customFormat="1" ht="298.2" thickBot="1">
      <c r="A62" s="17"/>
      <c r="B62" s="47">
        <v>46</v>
      </c>
      <c r="C62" s="32" t="s">
        <v>48</v>
      </c>
      <c r="D62" s="48" t="s">
        <v>202</v>
      </c>
      <c r="E62" s="34" t="s">
        <v>203</v>
      </c>
      <c r="F62" s="34" t="s">
        <v>49</v>
      </c>
      <c r="G62" s="33" t="s">
        <v>50</v>
      </c>
      <c r="H62" s="35">
        <v>2</v>
      </c>
      <c r="I62" s="36">
        <v>3</v>
      </c>
      <c r="J62" s="37" t="s">
        <v>51</v>
      </c>
      <c r="K62" s="38">
        <v>6</v>
      </c>
      <c r="L62" s="39" t="s">
        <v>51</v>
      </c>
      <c r="M62" s="40" t="s">
        <v>51</v>
      </c>
      <c r="N62" s="48" t="s">
        <v>628</v>
      </c>
      <c r="O62" s="34" t="s">
        <v>204</v>
      </c>
      <c r="P62" s="98" t="s">
        <v>205</v>
      </c>
      <c r="Q62" s="43" t="s">
        <v>650</v>
      </c>
      <c r="R62" s="44" t="s">
        <v>53</v>
      </c>
      <c r="S62" s="43"/>
      <c r="T62" s="45">
        <v>2</v>
      </c>
      <c r="U62" s="46">
        <v>3</v>
      </c>
      <c r="V62" s="37" t="str">
        <f t="shared" si="4"/>
        <v/>
      </c>
      <c r="W62" s="38">
        <f t="shared" si="5"/>
        <v>6</v>
      </c>
      <c r="X62" s="39" t="str">
        <f t="shared" si="6"/>
        <v/>
      </c>
      <c r="Y62" s="40" t="str">
        <f t="shared" si="7"/>
        <v/>
      </c>
    </row>
    <row r="63" spans="1:25" s="8" customFormat="1" ht="304.2" thickBot="1">
      <c r="A63" s="17"/>
      <c r="B63" s="31">
        <v>47</v>
      </c>
      <c r="C63" s="32" t="s">
        <v>48</v>
      </c>
      <c r="D63" s="48" t="s">
        <v>206</v>
      </c>
      <c r="E63" s="34" t="s">
        <v>207</v>
      </c>
      <c r="F63" s="34" t="s">
        <v>49</v>
      </c>
      <c r="G63" s="33" t="s">
        <v>50</v>
      </c>
      <c r="H63" s="35">
        <v>1</v>
      </c>
      <c r="I63" s="36">
        <v>1</v>
      </c>
      <c r="J63" s="37">
        <v>1</v>
      </c>
      <c r="K63" s="38" t="s">
        <v>51</v>
      </c>
      <c r="L63" s="39" t="s">
        <v>51</v>
      </c>
      <c r="M63" s="40" t="s">
        <v>51</v>
      </c>
      <c r="N63" s="48" t="s">
        <v>657</v>
      </c>
      <c r="O63" s="34" t="s">
        <v>208</v>
      </c>
      <c r="P63" s="50" t="s">
        <v>209</v>
      </c>
      <c r="Q63" s="43" t="s">
        <v>649</v>
      </c>
      <c r="R63" s="44" t="s">
        <v>53</v>
      </c>
      <c r="S63" s="43"/>
      <c r="T63" s="45">
        <v>1</v>
      </c>
      <c r="U63" s="46">
        <v>1</v>
      </c>
      <c r="V63" s="37">
        <f t="shared" si="4"/>
        <v>1</v>
      </c>
      <c r="W63" s="38" t="str">
        <f t="shared" si="5"/>
        <v/>
      </c>
      <c r="X63" s="39" t="str">
        <f t="shared" si="6"/>
        <v/>
      </c>
      <c r="Y63" s="40" t="str">
        <f t="shared" si="7"/>
        <v/>
      </c>
    </row>
    <row r="64" spans="1:25" s="8" customFormat="1" ht="359.4" thickBot="1">
      <c r="A64" s="17"/>
      <c r="B64" s="47">
        <v>48</v>
      </c>
      <c r="C64" s="54" t="s">
        <v>48</v>
      </c>
      <c r="D64" s="48" t="s">
        <v>210</v>
      </c>
      <c r="E64" s="34" t="s">
        <v>211</v>
      </c>
      <c r="F64" s="34" t="s">
        <v>49</v>
      </c>
      <c r="G64" s="33" t="s">
        <v>50</v>
      </c>
      <c r="H64" s="35">
        <v>1</v>
      </c>
      <c r="I64" s="36">
        <v>1</v>
      </c>
      <c r="J64" s="37">
        <v>1</v>
      </c>
      <c r="K64" s="38" t="s">
        <v>51</v>
      </c>
      <c r="L64" s="39" t="s">
        <v>51</v>
      </c>
      <c r="M64" s="40" t="s">
        <v>51</v>
      </c>
      <c r="N64" s="34" t="s">
        <v>552</v>
      </c>
      <c r="O64" s="34" t="s">
        <v>551</v>
      </c>
      <c r="P64" s="42" t="s">
        <v>212</v>
      </c>
      <c r="Q64" s="43" t="s">
        <v>649</v>
      </c>
      <c r="R64" s="44" t="s">
        <v>53</v>
      </c>
      <c r="S64" s="43"/>
      <c r="T64" s="45">
        <v>1</v>
      </c>
      <c r="U64" s="46">
        <v>1</v>
      </c>
      <c r="V64" s="37">
        <f t="shared" si="4"/>
        <v>1</v>
      </c>
      <c r="W64" s="38" t="str">
        <f t="shared" si="5"/>
        <v/>
      </c>
      <c r="X64" s="39" t="str">
        <f t="shared" si="6"/>
        <v/>
      </c>
      <c r="Y64" s="40" t="str">
        <f t="shared" si="7"/>
        <v/>
      </c>
    </row>
    <row r="65" spans="1:25" s="8" customFormat="1" ht="113.4" thickBot="1">
      <c r="A65" s="17"/>
      <c r="B65" s="31">
        <v>49</v>
      </c>
      <c r="C65" s="32" t="s">
        <v>48</v>
      </c>
      <c r="D65" s="33" t="s">
        <v>213</v>
      </c>
      <c r="E65" s="34" t="s">
        <v>214</v>
      </c>
      <c r="F65" s="33" t="s">
        <v>49</v>
      </c>
      <c r="G65" s="33" t="s">
        <v>50</v>
      </c>
      <c r="H65" s="35">
        <v>1</v>
      </c>
      <c r="I65" s="36">
        <v>1</v>
      </c>
      <c r="J65" s="37">
        <v>1</v>
      </c>
      <c r="K65" s="38" t="s">
        <v>51</v>
      </c>
      <c r="L65" s="39" t="s">
        <v>51</v>
      </c>
      <c r="M65" s="40" t="s">
        <v>51</v>
      </c>
      <c r="N65" s="41" t="s">
        <v>553</v>
      </c>
      <c r="O65" s="41" t="s">
        <v>215</v>
      </c>
      <c r="P65" s="55" t="s">
        <v>142</v>
      </c>
      <c r="Q65" s="43" t="s">
        <v>649</v>
      </c>
      <c r="R65" s="44" t="s">
        <v>53</v>
      </c>
      <c r="S65" s="43"/>
      <c r="T65" s="45">
        <v>1</v>
      </c>
      <c r="U65" s="46">
        <v>1</v>
      </c>
      <c r="V65" s="37">
        <f t="shared" si="4"/>
        <v>1</v>
      </c>
      <c r="W65" s="38" t="str">
        <f t="shared" si="5"/>
        <v/>
      </c>
      <c r="X65" s="39" t="str">
        <f t="shared" si="6"/>
        <v/>
      </c>
      <c r="Y65" s="40" t="str">
        <f t="shared" si="7"/>
        <v/>
      </c>
    </row>
    <row r="66" spans="1:25" s="8" customFormat="1" ht="141.6" thickBot="1">
      <c r="A66" s="17"/>
      <c r="B66" s="47">
        <v>50</v>
      </c>
      <c r="C66" s="32" t="s">
        <v>48</v>
      </c>
      <c r="D66" s="33" t="s">
        <v>216</v>
      </c>
      <c r="E66" s="48" t="s">
        <v>217</v>
      </c>
      <c r="F66" s="33" t="s">
        <v>49</v>
      </c>
      <c r="G66" s="33" t="s">
        <v>218</v>
      </c>
      <c r="H66" s="35">
        <v>1</v>
      </c>
      <c r="I66" s="36">
        <v>1</v>
      </c>
      <c r="J66" s="37">
        <v>1</v>
      </c>
      <c r="K66" s="38" t="s">
        <v>51</v>
      </c>
      <c r="L66" s="39" t="s">
        <v>51</v>
      </c>
      <c r="M66" s="40" t="s">
        <v>51</v>
      </c>
      <c r="N66" s="41" t="s">
        <v>554</v>
      </c>
      <c r="O66" s="34" t="s">
        <v>219</v>
      </c>
      <c r="P66" s="53" t="s">
        <v>56</v>
      </c>
      <c r="Q66" s="43" t="s">
        <v>649</v>
      </c>
      <c r="R66" s="44" t="s">
        <v>53</v>
      </c>
      <c r="S66" s="43"/>
      <c r="T66" s="45">
        <v>1</v>
      </c>
      <c r="U66" s="46">
        <v>1</v>
      </c>
      <c r="V66" s="37">
        <f t="shared" si="4"/>
        <v>1</v>
      </c>
      <c r="W66" s="38" t="str">
        <f t="shared" si="5"/>
        <v/>
      </c>
      <c r="X66" s="39" t="str">
        <f t="shared" si="6"/>
        <v/>
      </c>
      <c r="Y66" s="40" t="str">
        <f t="shared" si="7"/>
        <v/>
      </c>
    </row>
    <row r="67" spans="1:25" s="8" customFormat="1" ht="226.2" thickBot="1">
      <c r="A67" s="17"/>
      <c r="B67" s="31">
        <v>51</v>
      </c>
      <c r="C67" s="32" t="s">
        <v>48</v>
      </c>
      <c r="D67" s="33" t="s">
        <v>220</v>
      </c>
      <c r="E67" s="48" t="s">
        <v>221</v>
      </c>
      <c r="F67" s="33" t="s">
        <v>49</v>
      </c>
      <c r="G67" s="33" t="s">
        <v>218</v>
      </c>
      <c r="H67" s="35">
        <v>1</v>
      </c>
      <c r="I67" s="36">
        <v>1</v>
      </c>
      <c r="J67" s="37">
        <v>1</v>
      </c>
      <c r="K67" s="38" t="s">
        <v>51</v>
      </c>
      <c r="L67" s="39" t="s">
        <v>51</v>
      </c>
      <c r="M67" s="40" t="s">
        <v>51</v>
      </c>
      <c r="N67" s="41" t="s">
        <v>668</v>
      </c>
      <c r="O67" s="41" t="s">
        <v>222</v>
      </c>
      <c r="P67" s="50" t="s">
        <v>142</v>
      </c>
      <c r="Q67" s="43" t="s">
        <v>649</v>
      </c>
      <c r="R67" s="44" t="s">
        <v>53</v>
      </c>
      <c r="S67" s="43"/>
      <c r="T67" s="45">
        <v>1</v>
      </c>
      <c r="U67" s="46">
        <v>1</v>
      </c>
      <c r="V67" s="37">
        <f t="shared" si="4"/>
        <v>1</v>
      </c>
      <c r="W67" s="38" t="str">
        <f t="shared" si="5"/>
        <v/>
      </c>
      <c r="X67" s="39" t="str">
        <f t="shared" si="6"/>
        <v/>
      </c>
      <c r="Y67" s="40" t="str">
        <f t="shared" si="7"/>
        <v/>
      </c>
    </row>
    <row r="68" spans="1:25" s="8" customFormat="1" ht="166.2" thickBot="1">
      <c r="A68" s="17"/>
      <c r="B68" s="47">
        <v>52</v>
      </c>
      <c r="C68" s="32" t="s">
        <v>48</v>
      </c>
      <c r="D68" s="34" t="s">
        <v>223</v>
      </c>
      <c r="E68" s="34" t="s">
        <v>224</v>
      </c>
      <c r="F68" s="34" t="s">
        <v>49</v>
      </c>
      <c r="G68" s="33" t="s">
        <v>170</v>
      </c>
      <c r="H68" s="35">
        <v>1</v>
      </c>
      <c r="I68" s="36">
        <v>1</v>
      </c>
      <c r="J68" s="37">
        <v>1</v>
      </c>
      <c r="K68" s="38" t="s">
        <v>51</v>
      </c>
      <c r="L68" s="39" t="s">
        <v>51</v>
      </c>
      <c r="M68" s="40" t="s">
        <v>51</v>
      </c>
      <c r="N68" s="34" t="s">
        <v>555</v>
      </c>
      <c r="O68" s="34" t="s">
        <v>225</v>
      </c>
      <c r="P68" s="53" t="s">
        <v>226</v>
      </c>
      <c r="Q68" s="43" t="s">
        <v>649</v>
      </c>
      <c r="R68" s="44" t="s">
        <v>53</v>
      </c>
      <c r="S68" s="43"/>
      <c r="T68" s="45">
        <v>1</v>
      </c>
      <c r="U68" s="46">
        <v>1</v>
      </c>
      <c r="V68" s="37">
        <f t="shared" si="4"/>
        <v>1</v>
      </c>
      <c r="W68" s="38" t="str">
        <f t="shared" si="5"/>
        <v/>
      </c>
      <c r="X68" s="39" t="str">
        <f t="shared" si="6"/>
        <v/>
      </c>
      <c r="Y68" s="40" t="str">
        <f t="shared" si="7"/>
        <v/>
      </c>
    </row>
    <row r="69" spans="1:25" s="8" customFormat="1" ht="166.2" thickBot="1">
      <c r="A69" s="17"/>
      <c r="B69" s="31">
        <v>53</v>
      </c>
      <c r="C69" s="56" t="s">
        <v>48</v>
      </c>
      <c r="D69" s="44" t="s">
        <v>364</v>
      </c>
      <c r="E69" s="44" t="s">
        <v>227</v>
      </c>
      <c r="F69" s="34" t="s">
        <v>49</v>
      </c>
      <c r="G69" s="33" t="s">
        <v>170</v>
      </c>
      <c r="H69" s="35">
        <v>1</v>
      </c>
      <c r="I69" s="36">
        <v>1</v>
      </c>
      <c r="J69" s="37">
        <v>1</v>
      </c>
      <c r="K69" s="38" t="s">
        <v>51</v>
      </c>
      <c r="L69" s="39" t="s">
        <v>51</v>
      </c>
      <c r="M69" s="40" t="s">
        <v>51</v>
      </c>
      <c r="N69" s="43" t="s">
        <v>556</v>
      </c>
      <c r="O69" s="44" t="s">
        <v>228</v>
      </c>
      <c r="P69" s="42" t="s">
        <v>226</v>
      </c>
      <c r="Q69" s="43" t="s">
        <v>649</v>
      </c>
      <c r="R69" s="44" t="s">
        <v>53</v>
      </c>
      <c r="S69" s="43"/>
      <c r="T69" s="45">
        <v>1</v>
      </c>
      <c r="U69" s="46">
        <v>1</v>
      </c>
      <c r="V69" s="37">
        <f t="shared" si="4"/>
        <v>1</v>
      </c>
      <c r="W69" s="38" t="str">
        <f t="shared" si="5"/>
        <v/>
      </c>
      <c r="X69" s="39" t="str">
        <f t="shared" si="6"/>
        <v/>
      </c>
      <c r="Y69" s="40" t="str">
        <f t="shared" si="7"/>
        <v/>
      </c>
    </row>
    <row r="70" spans="1:25" s="8" customFormat="1" ht="85.2" thickBot="1">
      <c r="A70" s="17"/>
      <c r="B70" s="47">
        <v>54</v>
      </c>
      <c r="C70" s="54" t="s">
        <v>48</v>
      </c>
      <c r="D70" s="48" t="s">
        <v>229</v>
      </c>
      <c r="E70" s="48" t="s">
        <v>230</v>
      </c>
      <c r="F70" s="34" t="s">
        <v>49</v>
      </c>
      <c r="G70" s="33" t="s">
        <v>50</v>
      </c>
      <c r="H70" s="35">
        <v>1</v>
      </c>
      <c r="I70" s="36">
        <v>1</v>
      </c>
      <c r="J70" s="37">
        <v>1</v>
      </c>
      <c r="K70" s="38" t="s">
        <v>51</v>
      </c>
      <c r="L70" s="39" t="s">
        <v>51</v>
      </c>
      <c r="M70" s="40" t="s">
        <v>51</v>
      </c>
      <c r="N70" s="48" t="s">
        <v>557</v>
      </c>
      <c r="O70" s="34" t="s">
        <v>231</v>
      </c>
      <c r="P70" s="42" t="s">
        <v>142</v>
      </c>
      <c r="Q70" s="43" t="s">
        <v>649</v>
      </c>
      <c r="R70" s="44" t="s">
        <v>53</v>
      </c>
      <c r="S70" s="43"/>
      <c r="T70" s="45">
        <v>1</v>
      </c>
      <c r="U70" s="46">
        <v>1</v>
      </c>
      <c r="V70" s="37">
        <f t="shared" si="4"/>
        <v>1</v>
      </c>
      <c r="W70" s="38" t="str">
        <f t="shared" si="5"/>
        <v/>
      </c>
      <c r="X70" s="39" t="str">
        <f t="shared" si="6"/>
        <v/>
      </c>
      <c r="Y70" s="40" t="str">
        <f t="shared" si="7"/>
        <v/>
      </c>
    </row>
    <row r="71" spans="1:25" s="8" customFormat="1" ht="304.2" thickBot="1">
      <c r="A71" s="17"/>
      <c r="B71" s="31">
        <v>55</v>
      </c>
      <c r="C71" s="32" t="s">
        <v>48</v>
      </c>
      <c r="D71" s="33" t="s">
        <v>232</v>
      </c>
      <c r="E71" s="33" t="s">
        <v>233</v>
      </c>
      <c r="F71" s="34" t="s">
        <v>49</v>
      </c>
      <c r="G71" s="33" t="s">
        <v>218</v>
      </c>
      <c r="H71" s="35">
        <v>1</v>
      </c>
      <c r="I71" s="36">
        <v>1</v>
      </c>
      <c r="J71" s="37">
        <v>1</v>
      </c>
      <c r="K71" s="38" t="s">
        <v>51</v>
      </c>
      <c r="L71" s="39" t="s">
        <v>51</v>
      </c>
      <c r="M71" s="40" t="s">
        <v>51</v>
      </c>
      <c r="N71" s="41" t="s">
        <v>630</v>
      </c>
      <c r="O71" s="41" t="s">
        <v>234</v>
      </c>
      <c r="P71" s="42" t="s">
        <v>209</v>
      </c>
      <c r="Q71" s="43" t="s">
        <v>649</v>
      </c>
      <c r="R71" s="44" t="s">
        <v>53</v>
      </c>
      <c r="S71" s="43"/>
      <c r="T71" s="45">
        <v>1</v>
      </c>
      <c r="U71" s="46">
        <v>1</v>
      </c>
      <c r="V71" s="37">
        <f t="shared" si="4"/>
        <v>1</v>
      </c>
      <c r="W71" s="38" t="str">
        <f t="shared" si="5"/>
        <v/>
      </c>
      <c r="X71" s="39" t="str">
        <f t="shared" si="6"/>
        <v/>
      </c>
      <c r="Y71" s="40" t="str">
        <f t="shared" si="7"/>
        <v/>
      </c>
    </row>
    <row r="72" spans="1:25" s="8" customFormat="1" ht="387" thickBot="1">
      <c r="A72" s="17"/>
      <c r="B72" s="47">
        <v>56</v>
      </c>
      <c r="C72" s="32" t="s">
        <v>48</v>
      </c>
      <c r="D72" s="48" t="s">
        <v>245</v>
      </c>
      <c r="E72" s="48" t="s">
        <v>147</v>
      </c>
      <c r="F72" s="34" t="s">
        <v>49</v>
      </c>
      <c r="G72" s="33" t="s">
        <v>50</v>
      </c>
      <c r="H72" s="35">
        <v>1</v>
      </c>
      <c r="I72" s="36">
        <v>1</v>
      </c>
      <c r="J72" s="37">
        <v>1</v>
      </c>
      <c r="K72" s="38" t="s">
        <v>51</v>
      </c>
      <c r="L72" s="39" t="s">
        <v>51</v>
      </c>
      <c r="M72" s="40" t="s">
        <v>51</v>
      </c>
      <c r="N72" s="48" t="s">
        <v>559</v>
      </c>
      <c r="O72" s="34" t="s">
        <v>558</v>
      </c>
      <c r="P72" s="50" t="s">
        <v>237</v>
      </c>
      <c r="Q72" s="43" t="s">
        <v>649</v>
      </c>
      <c r="R72" s="44" t="s">
        <v>53</v>
      </c>
      <c r="S72" s="43"/>
      <c r="T72" s="45">
        <v>1</v>
      </c>
      <c r="U72" s="46">
        <v>1</v>
      </c>
      <c r="V72" s="37">
        <f t="shared" si="4"/>
        <v>1</v>
      </c>
      <c r="W72" s="38" t="str">
        <f t="shared" si="5"/>
        <v/>
      </c>
      <c r="X72" s="39" t="str">
        <f t="shared" si="6"/>
        <v/>
      </c>
      <c r="Y72" s="40" t="str">
        <f t="shared" si="7"/>
        <v/>
      </c>
    </row>
    <row r="73" spans="1:25" s="8" customFormat="1" ht="198" thickBot="1">
      <c r="A73" s="17"/>
      <c r="B73" s="31">
        <v>57</v>
      </c>
      <c r="C73" s="32" t="s">
        <v>48</v>
      </c>
      <c r="D73" s="33" t="s">
        <v>238</v>
      </c>
      <c r="E73" s="34" t="s">
        <v>239</v>
      </c>
      <c r="F73" s="34" t="s">
        <v>49</v>
      </c>
      <c r="G73" s="33" t="s">
        <v>50</v>
      </c>
      <c r="H73" s="35">
        <v>1</v>
      </c>
      <c r="I73" s="36">
        <v>1</v>
      </c>
      <c r="J73" s="37">
        <v>1</v>
      </c>
      <c r="K73" s="38" t="s">
        <v>51</v>
      </c>
      <c r="L73" s="39" t="s">
        <v>51</v>
      </c>
      <c r="M73" s="40" t="s">
        <v>51</v>
      </c>
      <c r="N73" s="33" t="s">
        <v>561</v>
      </c>
      <c r="O73" s="33" t="s">
        <v>560</v>
      </c>
      <c r="P73" s="53" t="s">
        <v>240</v>
      </c>
      <c r="Q73" s="43" t="s">
        <v>649</v>
      </c>
      <c r="R73" s="44" t="s">
        <v>53</v>
      </c>
      <c r="S73" s="43"/>
      <c r="T73" s="45">
        <v>1</v>
      </c>
      <c r="U73" s="46">
        <v>1</v>
      </c>
      <c r="V73" s="37">
        <f t="shared" si="4"/>
        <v>1</v>
      </c>
      <c r="W73" s="38" t="str">
        <f t="shared" si="5"/>
        <v/>
      </c>
      <c r="X73" s="39" t="str">
        <f t="shared" si="6"/>
        <v/>
      </c>
      <c r="Y73" s="40" t="str">
        <f t="shared" si="7"/>
        <v/>
      </c>
    </row>
    <row r="74" spans="1:25" s="8" customFormat="1" ht="319.8" thickBot="1">
      <c r="A74" s="17"/>
      <c r="B74" s="47">
        <v>58</v>
      </c>
      <c r="C74" s="54" t="s">
        <v>48</v>
      </c>
      <c r="D74" s="33" t="s">
        <v>241</v>
      </c>
      <c r="E74" s="34" t="s">
        <v>242</v>
      </c>
      <c r="F74" s="48" t="s">
        <v>49</v>
      </c>
      <c r="G74" s="33" t="s">
        <v>50</v>
      </c>
      <c r="H74" s="35">
        <v>1</v>
      </c>
      <c r="I74" s="36">
        <v>1</v>
      </c>
      <c r="J74" s="37">
        <v>1</v>
      </c>
      <c r="K74" s="38" t="s">
        <v>51</v>
      </c>
      <c r="L74" s="39" t="s">
        <v>51</v>
      </c>
      <c r="M74" s="40" t="s">
        <v>51</v>
      </c>
      <c r="N74" s="48" t="s">
        <v>631</v>
      </c>
      <c r="O74" s="48" t="s">
        <v>243</v>
      </c>
      <c r="P74" s="93" t="s">
        <v>244</v>
      </c>
      <c r="Q74" s="43" t="s">
        <v>649</v>
      </c>
      <c r="R74" s="44" t="s">
        <v>53</v>
      </c>
      <c r="S74" s="43"/>
      <c r="T74" s="45">
        <v>1</v>
      </c>
      <c r="U74" s="46">
        <v>1</v>
      </c>
      <c r="V74" s="37">
        <f t="shared" si="4"/>
        <v>1</v>
      </c>
      <c r="W74" s="38" t="str">
        <f t="shared" si="5"/>
        <v/>
      </c>
      <c r="X74" s="39" t="str">
        <f t="shared" si="6"/>
        <v/>
      </c>
      <c r="Y74" s="40" t="str">
        <f t="shared" si="7"/>
        <v/>
      </c>
    </row>
    <row r="75" spans="1:25" s="8" customFormat="1" ht="169.8" thickBot="1">
      <c r="A75" s="17"/>
      <c r="B75" s="31">
        <v>59</v>
      </c>
      <c r="C75" s="32" t="s">
        <v>48</v>
      </c>
      <c r="D75" s="48" t="s">
        <v>246</v>
      </c>
      <c r="E75" s="48" t="s">
        <v>247</v>
      </c>
      <c r="F75" s="34" t="s">
        <v>49</v>
      </c>
      <c r="G75" s="33" t="s">
        <v>170</v>
      </c>
      <c r="H75" s="35">
        <v>1</v>
      </c>
      <c r="I75" s="36">
        <v>1</v>
      </c>
      <c r="J75" s="37">
        <v>1</v>
      </c>
      <c r="K75" s="38" t="s">
        <v>51</v>
      </c>
      <c r="L75" s="39" t="s">
        <v>51</v>
      </c>
      <c r="M75" s="40" t="s">
        <v>51</v>
      </c>
      <c r="N75" s="48" t="s">
        <v>689</v>
      </c>
      <c r="O75" s="34" t="s">
        <v>562</v>
      </c>
      <c r="P75" s="50" t="s">
        <v>56</v>
      </c>
      <c r="Q75" s="43" t="s">
        <v>649</v>
      </c>
      <c r="R75" s="44" t="s">
        <v>53</v>
      </c>
      <c r="S75" s="43"/>
      <c r="T75" s="45">
        <v>1</v>
      </c>
      <c r="U75" s="46">
        <v>1</v>
      </c>
      <c r="V75" s="37">
        <f t="shared" si="4"/>
        <v>1</v>
      </c>
      <c r="W75" s="38" t="str">
        <f t="shared" si="5"/>
        <v/>
      </c>
      <c r="X75" s="39" t="str">
        <f t="shared" si="6"/>
        <v/>
      </c>
      <c r="Y75" s="40" t="str">
        <f t="shared" si="7"/>
        <v/>
      </c>
    </row>
    <row r="76" spans="1:25" s="8" customFormat="1" ht="345" thickBot="1">
      <c r="A76" s="17"/>
      <c r="B76" s="47">
        <v>60</v>
      </c>
      <c r="C76" s="54" t="s">
        <v>48</v>
      </c>
      <c r="D76" s="48" t="s">
        <v>248</v>
      </c>
      <c r="E76" s="48" t="s">
        <v>249</v>
      </c>
      <c r="F76" s="34" t="s">
        <v>49</v>
      </c>
      <c r="G76" s="33" t="s">
        <v>50</v>
      </c>
      <c r="H76" s="35">
        <v>1</v>
      </c>
      <c r="I76" s="36">
        <v>1</v>
      </c>
      <c r="J76" s="37">
        <v>1</v>
      </c>
      <c r="K76" s="38" t="s">
        <v>51</v>
      </c>
      <c r="L76" s="39" t="s">
        <v>51</v>
      </c>
      <c r="M76" s="40" t="s">
        <v>51</v>
      </c>
      <c r="N76" s="34" t="s">
        <v>699</v>
      </c>
      <c r="O76" s="34" t="s">
        <v>250</v>
      </c>
      <c r="P76" s="95" t="s">
        <v>244</v>
      </c>
      <c r="Q76" s="43" t="s">
        <v>649</v>
      </c>
      <c r="R76" s="44" t="s">
        <v>53</v>
      </c>
      <c r="S76" s="43"/>
      <c r="T76" s="45">
        <v>1</v>
      </c>
      <c r="U76" s="46">
        <v>1</v>
      </c>
      <c r="V76" s="37">
        <f t="shared" si="4"/>
        <v>1</v>
      </c>
      <c r="W76" s="38" t="str">
        <f t="shared" si="5"/>
        <v/>
      </c>
      <c r="X76" s="39" t="str">
        <f t="shared" si="6"/>
        <v/>
      </c>
      <c r="Y76" s="40" t="str">
        <f t="shared" si="7"/>
        <v/>
      </c>
    </row>
    <row r="77" spans="1:25" s="8" customFormat="1" ht="169.8" thickBot="1">
      <c r="A77" s="17"/>
      <c r="B77" s="31">
        <v>61</v>
      </c>
      <c r="C77" s="54" t="s">
        <v>48</v>
      </c>
      <c r="D77" s="33" t="s">
        <v>252</v>
      </c>
      <c r="E77" s="33" t="s">
        <v>253</v>
      </c>
      <c r="F77" s="33" t="s">
        <v>49</v>
      </c>
      <c r="G77" s="33" t="s">
        <v>254</v>
      </c>
      <c r="H77" s="35">
        <v>1</v>
      </c>
      <c r="I77" s="36">
        <v>1</v>
      </c>
      <c r="J77" s="37">
        <v>1</v>
      </c>
      <c r="K77" s="38" t="s">
        <v>51</v>
      </c>
      <c r="L77" s="39" t="s">
        <v>51</v>
      </c>
      <c r="M77" s="40" t="s">
        <v>51</v>
      </c>
      <c r="N77" s="41" t="s">
        <v>632</v>
      </c>
      <c r="O77" s="41" t="s">
        <v>255</v>
      </c>
      <c r="P77" s="42" t="s">
        <v>56</v>
      </c>
      <c r="Q77" s="43" t="s">
        <v>649</v>
      </c>
      <c r="R77" s="44" t="s">
        <v>53</v>
      </c>
      <c r="S77" s="43"/>
      <c r="T77" s="45">
        <v>1</v>
      </c>
      <c r="U77" s="46">
        <v>1</v>
      </c>
      <c r="V77" s="37">
        <f t="shared" si="4"/>
        <v>1</v>
      </c>
      <c r="W77" s="38" t="str">
        <f t="shared" si="5"/>
        <v/>
      </c>
      <c r="X77" s="39" t="str">
        <f t="shared" si="6"/>
        <v/>
      </c>
      <c r="Y77" s="40" t="str">
        <f t="shared" si="7"/>
        <v/>
      </c>
    </row>
    <row r="78" spans="1:25" s="8" customFormat="1" ht="111" thickBot="1">
      <c r="A78" s="17"/>
      <c r="B78" s="47">
        <v>62</v>
      </c>
      <c r="C78" s="54" t="s">
        <v>48</v>
      </c>
      <c r="D78" s="57" t="s">
        <v>256</v>
      </c>
      <c r="E78" s="57" t="s">
        <v>257</v>
      </c>
      <c r="F78" s="57" t="s">
        <v>49</v>
      </c>
      <c r="G78" s="33" t="s">
        <v>50</v>
      </c>
      <c r="H78" s="35">
        <v>1</v>
      </c>
      <c r="I78" s="36">
        <v>1</v>
      </c>
      <c r="J78" s="37">
        <v>1</v>
      </c>
      <c r="K78" s="38" t="s">
        <v>51</v>
      </c>
      <c r="L78" s="39" t="s">
        <v>51</v>
      </c>
      <c r="M78" s="40" t="s">
        <v>51</v>
      </c>
      <c r="N78" s="41" t="s">
        <v>563</v>
      </c>
      <c r="O78" s="41" t="s">
        <v>258</v>
      </c>
      <c r="P78" s="42" t="s">
        <v>259</v>
      </c>
      <c r="Q78" s="43" t="s">
        <v>649</v>
      </c>
      <c r="R78" s="44" t="s">
        <v>53</v>
      </c>
      <c r="S78" s="43"/>
      <c r="T78" s="45">
        <v>1</v>
      </c>
      <c r="U78" s="46">
        <v>1</v>
      </c>
      <c r="V78" s="37">
        <f t="shared" si="4"/>
        <v>1</v>
      </c>
      <c r="W78" s="38" t="str">
        <f t="shared" si="5"/>
        <v/>
      </c>
      <c r="X78" s="39" t="str">
        <f t="shared" si="6"/>
        <v/>
      </c>
      <c r="Y78" s="40" t="str">
        <f t="shared" si="7"/>
        <v/>
      </c>
    </row>
    <row r="79" spans="1:25" s="8" customFormat="1" ht="85.2" thickBot="1">
      <c r="A79" s="17"/>
      <c r="B79" s="31">
        <v>63</v>
      </c>
      <c r="C79" s="54" t="s">
        <v>48</v>
      </c>
      <c r="D79" s="48" t="s">
        <v>260</v>
      </c>
      <c r="E79" s="48" t="s">
        <v>261</v>
      </c>
      <c r="F79" s="34" t="s">
        <v>49</v>
      </c>
      <c r="G79" s="33" t="s">
        <v>50</v>
      </c>
      <c r="H79" s="35">
        <v>1</v>
      </c>
      <c r="I79" s="36">
        <v>1</v>
      </c>
      <c r="J79" s="37">
        <v>1</v>
      </c>
      <c r="K79" s="38" t="s">
        <v>51</v>
      </c>
      <c r="L79" s="39" t="s">
        <v>51</v>
      </c>
      <c r="M79" s="40" t="s">
        <v>51</v>
      </c>
      <c r="N79" s="48" t="s">
        <v>564</v>
      </c>
      <c r="O79" s="48" t="s">
        <v>262</v>
      </c>
      <c r="P79" s="42" t="s">
        <v>142</v>
      </c>
      <c r="Q79" s="43" t="s">
        <v>649</v>
      </c>
      <c r="R79" s="44" t="s">
        <v>53</v>
      </c>
      <c r="S79" s="43"/>
      <c r="T79" s="45">
        <v>1</v>
      </c>
      <c r="U79" s="46">
        <v>1</v>
      </c>
      <c r="V79" s="37">
        <f t="shared" si="4"/>
        <v>1</v>
      </c>
      <c r="W79" s="38" t="str">
        <f t="shared" si="5"/>
        <v/>
      </c>
      <c r="X79" s="39" t="str">
        <f t="shared" si="6"/>
        <v/>
      </c>
      <c r="Y79" s="40" t="str">
        <f t="shared" si="7"/>
        <v/>
      </c>
    </row>
    <row r="80" spans="1:25" s="8" customFormat="1" ht="249" thickBot="1">
      <c r="A80" s="17"/>
      <c r="B80" s="47">
        <v>64</v>
      </c>
      <c r="C80" s="54" t="s">
        <v>48</v>
      </c>
      <c r="D80" s="48" t="s">
        <v>263</v>
      </c>
      <c r="E80" s="34" t="s">
        <v>264</v>
      </c>
      <c r="F80" s="48" t="s">
        <v>49</v>
      </c>
      <c r="G80" s="33" t="s">
        <v>50</v>
      </c>
      <c r="H80" s="35">
        <v>1</v>
      </c>
      <c r="I80" s="36">
        <v>1</v>
      </c>
      <c r="J80" s="37">
        <v>1</v>
      </c>
      <c r="K80" s="38" t="s">
        <v>51</v>
      </c>
      <c r="L80" s="39" t="s">
        <v>51</v>
      </c>
      <c r="M80" s="40" t="s">
        <v>51</v>
      </c>
      <c r="N80" s="48" t="s">
        <v>629</v>
      </c>
      <c r="O80" s="48" t="s">
        <v>265</v>
      </c>
      <c r="P80" s="42" t="s">
        <v>266</v>
      </c>
      <c r="Q80" s="43" t="s">
        <v>649</v>
      </c>
      <c r="R80" s="44" t="s">
        <v>53</v>
      </c>
      <c r="S80" s="43"/>
      <c r="T80" s="45">
        <v>1</v>
      </c>
      <c r="U80" s="46">
        <v>1</v>
      </c>
      <c r="V80" s="37">
        <f t="shared" si="4"/>
        <v>1</v>
      </c>
      <c r="W80" s="38" t="str">
        <f t="shared" si="5"/>
        <v/>
      </c>
      <c r="X80" s="39" t="str">
        <f t="shared" si="6"/>
        <v/>
      </c>
      <c r="Y80" s="40" t="str">
        <f t="shared" si="7"/>
        <v/>
      </c>
    </row>
    <row r="81" spans="1:25" s="8" customFormat="1" ht="319.8" thickBot="1">
      <c r="A81" s="17"/>
      <c r="B81" s="31">
        <v>65</v>
      </c>
      <c r="C81" s="54" t="s">
        <v>48</v>
      </c>
      <c r="D81" s="48" t="s">
        <v>267</v>
      </c>
      <c r="E81" s="48" t="s">
        <v>268</v>
      </c>
      <c r="F81" s="48" t="s">
        <v>49</v>
      </c>
      <c r="G81" s="33" t="s">
        <v>50</v>
      </c>
      <c r="H81" s="35">
        <v>1</v>
      </c>
      <c r="I81" s="36">
        <v>1</v>
      </c>
      <c r="J81" s="37">
        <v>1</v>
      </c>
      <c r="K81" s="38" t="s">
        <v>51</v>
      </c>
      <c r="L81" s="39" t="s">
        <v>51</v>
      </c>
      <c r="M81" s="40" t="s">
        <v>51</v>
      </c>
      <c r="N81" s="34" t="s">
        <v>700</v>
      </c>
      <c r="O81" s="34" t="s">
        <v>269</v>
      </c>
      <c r="P81" s="93" t="s">
        <v>244</v>
      </c>
      <c r="Q81" s="43" t="s">
        <v>649</v>
      </c>
      <c r="R81" s="44" t="s">
        <v>53</v>
      </c>
      <c r="S81" s="43"/>
      <c r="T81" s="45">
        <v>1</v>
      </c>
      <c r="U81" s="46">
        <v>1</v>
      </c>
      <c r="V81" s="37">
        <f t="shared" si="4"/>
        <v>1</v>
      </c>
      <c r="W81" s="38" t="str">
        <f t="shared" si="5"/>
        <v/>
      </c>
      <c r="X81" s="39" t="str">
        <f t="shared" si="6"/>
        <v/>
      </c>
      <c r="Y81" s="40" t="str">
        <f t="shared" si="7"/>
        <v/>
      </c>
    </row>
    <row r="82" spans="1:25" s="8" customFormat="1" ht="342.6" thickBot="1">
      <c r="A82" s="17"/>
      <c r="B82" s="47">
        <v>66</v>
      </c>
      <c r="C82" s="32" t="s">
        <v>48</v>
      </c>
      <c r="D82" s="48" t="s">
        <v>658</v>
      </c>
      <c r="E82" s="48" t="s">
        <v>271</v>
      </c>
      <c r="F82" s="34" t="s">
        <v>49</v>
      </c>
      <c r="G82" s="33" t="s">
        <v>50</v>
      </c>
      <c r="H82" s="35">
        <v>1</v>
      </c>
      <c r="I82" s="36">
        <v>1</v>
      </c>
      <c r="J82" s="37">
        <v>1</v>
      </c>
      <c r="K82" s="38" t="s">
        <v>51</v>
      </c>
      <c r="L82" s="39" t="s">
        <v>51</v>
      </c>
      <c r="M82" s="40" t="s">
        <v>51</v>
      </c>
      <c r="N82" s="34" t="s">
        <v>633</v>
      </c>
      <c r="O82" s="48" t="s">
        <v>272</v>
      </c>
      <c r="P82" s="93" t="s">
        <v>273</v>
      </c>
      <c r="Q82" s="43" t="s">
        <v>649</v>
      </c>
      <c r="R82" s="44" t="s">
        <v>53</v>
      </c>
      <c r="S82" s="43"/>
      <c r="T82" s="45">
        <v>1</v>
      </c>
      <c r="U82" s="46">
        <v>1</v>
      </c>
      <c r="V82" s="37">
        <f t="shared" si="4"/>
        <v>1</v>
      </c>
      <c r="W82" s="38" t="str">
        <f t="shared" si="5"/>
        <v/>
      </c>
      <c r="X82" s="39" t="str">
        <f t="shared" si="6"/>
        <v/>
      </c>
      <c r="Y82" s="40" t="str">
        <f t="shared" si="7"/>
        <v/>
      </c>
    </row>
    <row r="83" spans="1:25" s="8" customFormat="1" ht="331.8" thickBot="1">
      <c r="A83" s="17"/>
      <c r="B83" s="31">
        <v>67</v>
      </c>
      <c r="C83" s="54" t="s">
        <v>48</v>
      </c>
      <c r="D83" s="48" t="s">
        <v>274</v>
      </c>
      <c r="E83" s="48" t="s">
        <v>275</v>
      </c>
      <c r="F83" s="34" t="s">
        <v>49</v>
      </c>
      <c r="G83" s="33" t="s">
        <v>55</v>
      </c>
      <c r="H83" s="35">
        <v>1</v>
      </c>
      <c r="I83" s="36">
        <v>1</v>
      </c>
      <c r="J83" s="37">
        <v>1</v>
      </c>
      <c r="K83" s="38" t="s">
        <v>51</v>
      </c>
      <c r="L83" s="39" t="s">
        <v>51</v>
      </c>
      <c r="M83" s="40" t="s">
        <v>51</v>
      </c>
      <c r="N83" s="34" t="s">
        <v>565</v>
      </c>
      <c r="O83" s="48" t="s">
        <v>276</v>
      </c>
      <c r="P83" s="42" t="s">
        <v>277</v>
      </c>
      <c r="Q83" s="43" t="s">
        <v>649</v>
      </c>
      <c r="R83" s="44" t="s">
        <v>53</v>
      </c>
      <c r="S83" s="43"/>
      <c r="T83" s="45">
        <v>1</v>
      </c>
      <c r="U83" s="46">
        <v>1</v>
      </c>
      <c r="V83" s="37">
        <f t="shared" si="4"/>
        <v>1</v>
      </c>
      <c r="W83" s="38" t="str">
        <f t="shared" si="5"/>
        <v/>
      </c>
      <c r="X83" s="39" t="str">
        <f t="shared" si="6"/>
        <v/>
      </c>
      <c r="Y83" s="40" t="str">
        <f t="shared" si="7"/>
        <v/>
      </c>
    </row>
    <row r="84" spans="1:25" s="8" customFormat="1" ht="113.4" thickBot="1">
      <c r="A84" s="17"/>
      <c r="B84" s="47">
        <v>68</v>
      </c>
      <c r="C84" s="54" t="s">
        <v>48</v>
      </c>
      <c r="D84" s="48" t="s">
        <v>278</v>
      </c>
      <c r="E84" s="48" t="s">
        <v>279</v>
      </c>
      <c r="F84" s="34" t="s">
        <v>49</v>
      </c>
      <c r="G84" s="33" t="s">
        <v>280</v>
      </c>
      <c r="H84" s="35">
        <v>1</v>
      </c>
      <c r="I84" s="36">
        <v>1</v>
      </c>
      <c r="J84" s="37">
        <v>1</v>
      </c>
      <c r="K84" s="38" t="s">
        <v>51</v>
      </c>
      <c r="L84" s="39" t="s">
        <v>51</v>
      </c>
      <c r="M84" s="40" t="s">
        <v>51</v>
      </c>
      <c r="N84" s="48" t="s">
        <v>566</v>
      </c>
      <c r="O84" s="48" t="s">
        <v>281</v>
      </c>
      <c r="P84" s="42" t="s">
        <v>56</v>
      </c>
      <c r="Q84" s="43" t="s">
        <v>649</v>
      </c>
      <c r="R84" s="44" t="s">
        <v>53</v>
      </c>
      <c r="S84" s="43"/>
      <c r="T84" s="45">
        <v>1</v>
      </c>
      <c r="U84" s="46">
        <v>1</v>
      </c>
      <c r="V84" s="37">
        <f t="shared" si="4"/>
        <v>1</v>
      </c>
      <c r="W84" s="38" t="str">
        <f t="shared" si="5"/>
        <v/>
      </c>
      <c r="X84" s="39" t="str">
        <f t="shared" si="6"/>
        <v/>
      </c>
      <c r="Y84" s="40" t="str">
        <f t="shared" si="7"/>
        <v/>
      </c>
    </row>
    <row r="85" spans="1:25" s="8" customFormat="1" ht="226.2" thickBot="1">
      <c r="A85" s="17"/>
      <c r="B85" s="31">
        <v>69</v>
      </c>
      <c r="C85" s="32" t="s">
        <v>48</v>
      </c>
      <c r="D85" s="34" t="s">
        <v>282</v>
      </c>
      <c r="E85" s="34" t="s">
        <v>283</v>
      </c>
      <c r="F85" s="33" t="s">
        <v>49</v>
      </c>
      <c r="G85" s="33" t="s">
        <v>50</v>
      </c>
      <c r="H85" s="35">
        <v>1</v>
      </c>
      <c r="I85" s="36">
        <v>1</v>
      </c>
      <c r="J85" s="37">
        <v>1</v>
      </c>
      <c r="K85" s="38" t="s">
        <v>51</v>
      </c>
      <c r="L85" s="39" t="s">
        <v>51</v>
      </c>
      <c r="M85" s="40" t="s">
        <v>51</v>
      </c>
      <c r="N85" s="34" t="s">
        <v>567</v>
      </c>
      <c r="O85" s="34" t="s">
        <v>284</v>
      </c>
      <c r="P85" s="42" t="s">
        <v>142</v>
      </c>
      <c r="Q85" s="43" t="s">
        <v>649</v>
      </c>
      <c r="R85" s="44" t="s">
        <v>53</v>
      </c>
      <c r="S85" s="43"/>
      <c r="T85" s="45">
        <v>1</v>
      </c>
      <c r="U85" s="46">
        <v>1</v>
      </c>
      <c r="V85" s="37">
        <f t="shared" si="4"/>
        <v>1</v>
      </c>
      <c r="W85" s="38" t="str">
        <f t="shared" si="5"/>
        <v/>
      </c>
      <c r="X85" s="39" t="str">
        <f t="shared" si="6"/>
        <v/>
      </c>
      <c r="Y85" s="40" t="str">
        <f t="shared" si="7"/>
        <v/>
      </c>
    </row>
    <row r="86" spans="1:25" s="8" customFormat="1" ht="221.4" thickBot="1">
      <c r="A86" s="17"/>
      <c r="B86" s="47">
        <v>70</v>
      </c>
      <c r="C86" s="32" t="s">
        <v>48</v>
      </c>
      <c r="D86" s="48" t="s">
        <v>285</v>
      </c>
      <c r="E86" s="48" t="s">
        <v>286</v>
      </c>
      <c r="F86" s="33" t="s">
        <v>49</v>
      </c>
      <c r="G86" s="33" t="s">
        <v>287</v>
      </c>
      <c r="H86" s="35">
        <v>1</v>
      </c>
      <c r="I86" s="36">
        <v>1</v>
      </c>
      <c r="J86" s="37">
        <v>1</v>
      </c>
      <c r="K86" s="38" t="s">
        <v>51</v>
      </c>
      <c r="L86" s="39" t="s">
        <v>51</v>
      </c>
      <c r="M86" s="40" t="s">
        <v>51</v>
      </c>
      <c r="N86" s="41" t="s">
        <v>701</v>
      </c>
      <c r="O86" s="34" t="s">
        <v>288</v>
      </c>
      <c r="P86" s="42" t="s">
        <v>289</v>
      </c>
      <c r="Q86" s="43" t="s">
        <v>649</v>
      </c>
      <c r="R86" s="44" t="s">
        <v>53</v>
      </c>
      <c r="S86" s="43"/>
      <c r="T86" s="45">
        <v>1</v>
      </c>
      <c r="U86" s="46">
        <v>1</v>
      </c>
      <c r="V86" s="37">
        <f t="shared" si="4"/>
        <v>1</v>
      </c>
      <c r="W86" s="38" t="str">
        <f t="shared" si="5"/>
        <v/>
      </c>
      <c r="X86" s="39" t="str">
        <f t="shared" si="6"/>
        <v/>
      </c>
      <c r="Y86" s="40" t="str">
        <f t="shared" si="7"/>
        <v/>
      </c>
    </row>
    <row r="87" spans="1:25" s="8" customFormat="1" ht="226.2" thickBot="1">
      <c r="A87" s="17"/>
      <c r="B87" s="31">
        <v>71</v>
      </c>
      <c r="C87" s="32" t="s">
        <v>48</v>
      </c>
      <c r="D87" s="33" t="s">
        <v>290</v>
      </c>
      <c r="E87" s="48" t="s">
        <v>286</v>
      </c>
      <c r="F87" s="33" t="s">
        <v>49</v>
      </c>
      <c r="G87" s="33" t="s">
        <v>50</v>
      </c>
      <c r="H87" s="35">
        <v>1</v>
      </c>
      <c r="I87" s="36">
        <v>1</v>
      </c>
      <c r="J87" s="37">
        <v>1</v>
      </c>
      <c r="K87" s="38" t="s">
        <v>51</v>
      </c>
      <c r="L87" s="39" t="s">
        <v>51</v>
      </c>
      <c r="M87" s="40" t="s">
        <v>51</v>
      </c>
      <c r="N87" s="41" t="s">
        <v>568</v>
      </c>
      <c r="O87" s="34" t="s">
        <v>291</v>
      </c>
      <c r="P87" s="42" t="s">
        <v>142</v>
      </c>
      <c r="Q87" s="43" t="s">
        <v>649</v>
      </c>
      <c r="R87" s="44" t="s">
        <v>53</v>
      </c>
      <c r="S87" s="43"/>
      <c r="T87" s="45">
        <v>1</v>
      </c>
      <c r="U87" s="46">
        <v>1</v>
      </c>
      <c r="V87" s="37">
        <f t="shared" si="4"/>
        <v>1</v>
      </c>
      <c r="W87" s="38" t="str">
        <f t="shared" si="5"/>
        <v/>
      </c>
      <c r="X87" s="39" t="str">
        <f t="shared" si="6"/>
        <v/>
      </c>
      <c r="Y87" s="40" t="str">
        <f t="shared" si="7"/>
        <v/>
      </c>
    </row>
    <row r="88" spans="1:25" s="8" customFormat="1" ht="169.8" thickBot="1">
      <c r="A88" s="17"/>
      <c r="B88" s="47">
        <v>72</v>
      </c>
      <c r="C88" s="54" t="s">
        <v>48</v>
      </c>
      <c r="D88" s="48" t="s">
        <v>292</v>
      </c>
      <c r="E88" s="34" t="s">
        <v>293</v>
      </c>
      <c r="F88" s="48" t="s">
        <v>49</v>
      </c>
      <c r="G88" s="33" t="s">
        <v>170</v>
      </c>
      <c r="H88" s="35">
        <v>1</v>
      </c>
      <c r="I88" s="36">
        <v>1</v>
      </c>
      <c r="J88" s="37">
        <v>1</v>
      </c>
      <c r="K88" s="38" t="s">
        <v>51</v>
      </c>
      <c r="L88" s="39" t="s">
        <v>51</v>
      </c>
      <c r="M88" s="40" t="s">
        <v>51</v>
      </c>
      <c r="N88" s="48" t="s">
        <v>569</v>
      </c>
      <c r="O88" s="48" t="s">
        <v>294</v>
      </c>
      <c r="P88" s="42" t="s">
        <v>56</v>
      </c>
      <c r="Q88" s="43" t="s">
        <v>649</v>
      </c>
      <c r="R88" s="44" t="s">
        <v>53</v>
      </c>
      <c r="S88" s="43"/>
      <c r="T88" s="45">
        <v>1</v>
      </c>
      <c r="U88" s="46">
        <v>1</v>
      </c>
      <c r="V88" s="37">
        <f t="shared" si="4"/>
        <v>1</v>
      </c>
      <c r="W88" s="38" t="str">
        <f t="shared" si="5"/>
        <v/>
      </c>
      <c r="X88" s="39" t="str">
        <f t="shared" si="6"/>
        <v/>
      </c>
      <c r="Y88" s="40" t="str">
        <f t="shared" si="7"/>
        <v/>
      </c>
    </row>
    <row r="89" spans="1:25" s="8" customFormat="1" ht="85.2" thickBot="1">
      <c r="A89" s="17"/>
      <c r="B89" s="31">
        <v>73</v>
      </c>
      <c r="C89" s="54" t="s">
        <v>48</v>
      </c>
      <c r="D89" s="48" t="s">
        <v>295</v>
      </c>
      <c r="E89" s="34" t="s">
        <v>296</v>
      </c>
      <c r="F89" s="48" t="s">
        <v>49</v>
      </c>
      <c r="G89" s="33" t="s">
        <v>50</v>
      </c>
      <c r="H89" s="35">
        <v>1</v>
      </c>
      <c r="I89" s="36">
        <v>1</v>
      </c>
      <c r="J89" s="37">
        <v>1</v>
      </c>
      <c r="K89" s="38" t="s">
        <v>51</v>
      </c>
      <c r="L89" s="39" t="s">
        <v>51</v>
      </c>
      <c r="M89" s="40" t="s">
        <v>51</v>
      </c>
      <c r="N89" s="48" t="s">
        <v>570</v>
      </c>
      <c r="O89" s="48" t="s">
        <v>297</v>
      </c>
      <c r="P89" s="42" t="s">
        <v>142</v>
      </c>
      <c r="Q89" s="43" t="s">
        <v>649</v>
      </c>
      <c r="R89" s="44" t="s">
        <v>53</v>
      </c>
      <c r="S89" s="43"/>
      <c r="T89" s="45">
        <v>1</v>
      </c>
      <c r="U89" s="46">
        <v>1</v>
      </c>
      <c r="V89" s="37">
        <f t="shared" si="4"/>
        <v>1</v>
      </c>
      <c r="W89" s="38" t="str">
        <f t="shared" si="5"/>
        <v/>
      </c>
      <c r="X89" s="39" t="str">
        <f t="shared" si="6"/>
        <v/>
      </c>
      <c r="Y89" s="40" t="str">
        <f t="shared" si="7"/>
        <v/>
      </c>
    </row>
    <row r="90" spans="1:25" s="8" customFormat="1" ht="319.8" thickBot="1">
      <c r="A90" s="17"/>
      <c r="B90" s="47">
        <v>74</v>
      </c>
      <c r="C90" s="54" t="s">
        <v>48</v>
      </c>
      <c r="D90" s="48" t="s">
        <v>298</v>
      </c>
      <c r="E90" s="34" t="s">
        <v>299</v>
      </c>
      <c r="F90" s="48" t="s">
        <v>49</v>
      </c>
      <c r="G90" s="33" t="s">
        <v>50</v>
      </c>
      <c r="H90" s="35">
        <v>1</v>
      </c>
      <c r="I90" s="36">
        <v>1</v>
      </c>
      <c r="J90" s="37">
        <v>1</v>
      </c>
      <c r="K90" s="38" t="s">
        <v>51</v>
      </c>
      <c r="L90" s="39" t="s">
        <v>51</v>
      </c>
      <c r="M90" s="40" t="s">
        <v>51</v>
      </c>
      <c r="N90" s="48" t="s">
        <v>634</v>
      </c>
      <c r="O90" s="48" t="s">
        <v>300</v>
      </c>
      <c r="P90" s="93" t="s">
        <v>244</v>
      </c>
      <c r="Q90" s="43" t="s">
        <v>649</v>
      </c>
      <c r="R90" s="44" t="s">
        <v>53</v>
      </c>
      <c r="S90" s="43"/>
      <c r="T90" s="45">
        <v>1</v>
      </c>
      <c r="U90" s="46">
        <v>1</v>
      </c>
      <c r="V90" s="37">
        <f t="shared" si="4"/>
        <v>1</v>
      </c>
      <c r="W90" s="38" t="str">
        <f t="shared" si="5"/>
        <v/>
      </c>
      <c r="X90" s="39" t="str">
        <f t="shared" si="6"/>
        <v/>
      </c>
      <c r="Y90" s="40" t="str">
        <f t="shared" si="7"/>
        <v/>
      </c>
    </row>
    <row r="91" spans="1:25" s="8" customFormat="1" ht="282.6" thickBot="1">
      <c r="A91" s="17"/>
      <c r="B91" s="31">
        <v>75</v>
      </c>
      <c r="C91" s="54" t="s">
        <v>48</v>
      </c>
      <c r="D91" s="48" t="s">
        <v>301</v>
      </c>
      <c r="E91" s="34" t="s">
        <v>302</v>
      </c>
      <c r="F91" s="48" t="s">
        <v>49</v>
      </c>
      <c r="G91" s="33" t="s">
        <v>50</v>
      </c>
      <c r="H91" s="35">
        <v>1</v>
      </c>
      <c r="I91" s="36">
        <v>1</v>
      </c>
      <c r="J91" s="37">
        <v>1</v>
      </c>
      <c r="K91" s="38" t="s">
        <v>51</v>
      </c>
      <c r="L91" s="39" t="s">
        <v>51</v>
      </c>
      <c r="M91" s="40" t="s">
        <v>51</v>
      </c>
      <c r="N91" s="48" t="s">
        <v>571</v>
      </c>
      <c r="O91" s="48" t="s">
        <v>303</v>
      </c>
      <c r="P91" s="42" t="s">
        <v>304</v>
      </c>
      <c r="Q91" s="43" t="s">
        <v>649</v>
      </c>
      <c r="R91" s="44" t="s">
        <v>53</v>
      </c>
      <c r="S91" s="43"/>
      <c r="T91" s="45">
        <v>1</v>
      </c>
      <c r="U91" s="46">
        <v>1</v>
      </c>
      <c r="V91" s="37">
        <f t="shared" si="4"/>
        <v>1</v>
      </c>
      <c r="W91" s="38" t="str">
        <f t="shared" si="5"/>
        <v/>
      </c>
      <c r="X91" s="39" t="str">
        <f t="shared" si="6"/>
        <v/>
      </c>
      <c r="Y91" s="40" t="str">
        <f t="shared" si="7"/>
        <v/>
      </c>
    </row>
    <row r="92" spans="1:25" s="8" customFormat="1" ht="221.4" thickBot="1">
      <c r="A92" s="17"/>
      <c r="B92" s="47">
        <v>76</v>
      </c>
      <c r="C92" s="54" t="s">
        <v>48</v>
      </c>
      <c r="D92" s="48" t="s">
        <v>305</v>
      </c>
      <c r="E92" s="34" t="s">
        <v>306</v>
      </c>
      <c r="F92" s="48" t="s">
        <v>49</v>
      </c>
      <c r="G92" s="33" t="s">
        <v>50</v>
      </c>
      <c r="H92" s="35">
        <v>1</v>
      </c>
      <c r="I92" s="36">
        <v>1</v>
      </c>
      <c r="J92" s="37">
        <v>1</v>
      </c>
      <c r="K92" s="38" t="s">
        <v>51</v>
      </c>
      <c r="L92" s="39" t="s">
        <v>51</v>
      </c>
      <c r="M92" s="40" t="s">
        <v>51</v>
      </c>
      <c r="N92" s="48" t="s">
        <v>572</v>
      </c>
      <c r="O92" s="48" t="s">
        <v>307</v>
      </c>
      <c r="P92" s="42" t="s">
        <v>270</v>
      </c>
      <c r="Q92" s="43" t="s">
        <v>649</v>
      </c>
      <c r="R92" s="44" t="s">
        <v>53</v>
      </c>
      <c r="S92" s="43"/>
      <c r="T92" s="45">
        <v>1</v>
      </c>
      <c r="U92" s="46">
        <v>1</v>
      </c>
      <c r="V92" s="37">
        <f t="shared" si="8" ref="V92:V117">IF(U92*T92&lt;=4,U92*T92,"")</f>
        <v>1</v>
      </c>
      <c r="W92" s="38" t="str">
        <f t="shared" si="9" ref="W92:W117">IF(AND(U92*T92&gt;=5,U92*T92&lt;10),U92*T92,"")</f>
        <v/>
      </c>
      <c r="X92" s="39" t="str">
        <f t="shared" si="10" ref="X92:X117">IF(AND(U92*T92&gt;=10,U92*T92&lt;=15),U92*T92,"")</f>
        <v/>
      </c>
      <c r="Y92" s="40" t="str">
        <f t="shared" si="11" ref="Y92:Y117">IF(U92*T92&gt;=16,U92*T92,"")</f>
        <v/>
      </c>
    </row>
    <row r="93" spans="1:25" s="8" customFormat="1" ht="198" thickBot="1">
      <c r="A93" s="17"/>
      <c r="B93" s="31">
        <v>77</v>
      </c>
      <c r="C93" s="54" t="s">
        <v>48</v>
      </c>
      <c r="D93" s="48" t="s">
        <v>669</v>
      </c>
      <c r="E93" s="34" t="s">
        <v>308</v>
      </c>
      <c r="F93" s="48" t="s">
        <v>49</v>
      </c>
      <c r="G93" s="33" t="s">
        <v>50</v>
      </c>
      <c r="H93" s="35">
        <v>1</v>
      </c>
      <c r="I93" s="36">
        <v>1</v>
      </c>
      <c r="J93" s="37">
        <v>1</v>
      </c>
      <c r="K93" s="38" t="s">
        <v>51</v>
      </c>
      <c r="L93" s="39" t="s">
        <v>51</v>
      </c>
      <c r="M93" s="40" t="s">
        <v>51</v>
      </c>
      <c r="N93" s="48" t="s">
        <v>573</v>
      </c>
      <c r="O93" s="48" t="s">
        <v>309</v>
      </c>
      <c r="P93" s="42" t="s">
        <v>310</v>
      </c>
      <c r="Q93" s="43" t="s">
        <v>649</v>
      </c>
      <c r="R93" s="44" t="s">
        <v>53</v>
      </c>
      <c r="S93" s="43"/>
      <c r="T93" s="45">
        <v>1</v>
      </c>
      <c r="U93" s="46">
        <v>1</v>
      </c>
      <c r="V93" s="37">
        <f t="shared" si="8"/>
        <v>1</v>
      </c>
      <c r="W93" s="38" t="str">
        <f t="shared" si="9"/>
        <v/>
      </c>
      <c r="X93" s="39" t="str">
        <f t="shared" si="10"/>
        <v/>
      </c>
      <c r="Y93" s="40" t="str">
        <f t="shared" si="11"/>
        <v/>
      </c>
    </row>
    <row r="94" spans="1:25" s="8" customFormat="1" ht="249" thickBot="1">
      <c r="A94" s="17"/>
      <c r="B94" s="47">
        <v>78</v>
      </c>
      <c r="C94" s="54" t="s">
        <v>48</v>
      </c>
      <c r="D94" s="48" t="s">
        <v>311</v>
      </c>
      <c r="E94" s="34" t="s">
        <v>312</v>
      </c>
      <c r="F94" s="48" t="s">
        <v>49</v>
      </c>
      <c r="G94" s="33" t="s">
        <v>50</v>
      </c>
      <c r="H94" s="35">
        <v>1</v>
      </c>
      <c r="I94" s="36">
        <v>1</v>
      </c>
      <c r="J94" s="37">
        <v>1</v>
      </c>
      <c r="K94" s="38" t="s">
        <v>51</v>
      </c>
      <c r="L94" s="39" t="s">
        <v>51</v>
      </c>
      <c r="M94" s="40" t="s">
        <v>51</v>
      </c>
      <c r="N94" s="48" t="s">
        <v>659</v>
      </c>
      <c r="O94" s="48" t="s">
        <v>313</v>
      </c>
      <c r="P94" s="42" t="s">
        <v>96</v>
      </c>
      <c r="Q94" s="43" t="s">
        <v>649</v>
      </c>
      <c r="R94" s="44" t="s">
        <v>53</v>
      </c>
      <c r="S94" s="43"/>
      <c r="T94" s="45">
        <v>1</v>
      </c>
      <c r="U94" s="46">
        <v>1</v>
      </c>
      <c r="V94" s="37">
        <f t="shared" si="8"/>
        <v>1</v>
      </c>
      <c r="W94" s="38" t="str">
        <f t="shared" si="9"/>
        <v/>
      </c>
      <c r="X94" s="39" t="str">
        <f t="shared" si="10"/>
        <v/>
      </c>
      <c r="Y94" s="40" t="str">
        <f t="shared" si="11"/>
        <v/>
      </c>
    </row>
    <row r="95" spans="1:25" s="8" customFormat="1" ht="166.2" thickBot="1">
      <c r="A95" s="17"/>
      <c r="B95" s="31">
        <v>79</v>
      </c>
      <c r="C95" s="54" t="s">
        <v>48</v>
      </c>
      <c r="D95" s="48" t="s">
        <v>314</v>
      </c>
      <c r="E95" s="34" t="s">
        <v>315</v>
      </c>
      <c r="F95" s="48" t="s">
        <v>49</v>
      </c>
      <c r="G95" s="33" t="s">
        <v>170</v>
      </c>
      <c r="H95" s="35">
        <v>1</v>
      </c>
      <c r="I95" s="36">
        <v>1</v>
      </c>
      <c r="J95" s="37">
        <v>1</v>
      </c>
      <c r="K95" s="38" t="s">
        <v>51</v>
      </c>
      <c r="L95" s="39" t="s">
        <v>51</v>
      </c>
      <c r="M95" s="40" t="s">
        <v>51</v>
      </c>
      <c r="N95" s="48" t="s">
        <v>660</v>
      </c>
      <c r="O95" s="48" t="s">
        <v>316</v>
      </c>
      <c r="P95" s="42" t="s">
        <v>226</v>
      </c>
      <c r="Q95" s="43" t="s">
        <v>649</v>
      </c>
      <c r="R95" s="44" t="s">
        <v>53</v>
      </c>
      <c r="S95" s="43"/>
      <c r="T95" s="45">
        <v>1</v>
      </c>
      <c r="U95" s="46">
        <v>1</v>
      </c>
      <c r="V95" s="37">
        <f t="shared" si="8"/>
        <v>1</v>
      </c>
      <c r="W95" s="38" t="str">
        <f t="shared" si="9"/>
        <v/>
      </c>
      <c r="X95" s="39" t="str">
        <f t="shared" si="10"/>
        <v/>
      </c>
      <c r="Y95" s="40" t="str">
        <f t="shared" si="11"/>
        <v/>
      </c>
    </row>
    <row r="96" spans="1:25" s="8" customFormat="1" ht="85.2" thickBot="1">
      <c r="A96" s="17"/>
      <c r="B96" s="47">
        <v>80</v>
      </c>
      <c r="C96" s="54" t="s">
        <v>48</v>
      </c>
      <c r="D96" s="48" t="s">
        <v>318</v>
      </c>
      <c r="E96" s="34" t="s">
        <v>319</v>
      </c>
      <c r="F96" s="48" t="s">
        <v>49</v>
      </c>
      <c r="G96" s="33" t="s">
        <v>50</v>
      </c>
      <c r="H96" s="35">
        <v>1</v>
      </c>
      <c r="I96" s="36">
        <v>1</v>
      </c>
      <c r="J96" s="37">
        <v>1</v>
      </c>
      <c r="K96" s="38" t="s">
        <v>51</v>
      </c>
      <c r="L96" s="39" t="s">
        <v>51</v>
      </c>
      <c r="M96" s="40" t="s">
        <v>51</v>
      </c>
      <c r="N96" s="48" t="s">
        <v>574</v>
      </c>
      <c r="O96" s="48" t="s">
        <v>320</v>
      </c>
      <c r="P96" s="42" t="s">
        <v>142</v>
      </c>
      <c r="Q96" s="43" t="s">
        <v>649</v>
      </c>
      <c r="R96" s="44" t="s">
        <v>53</v>
      </c>
      <c r="S96" s="43"/>
      <c r="T96" s="45">
        <v>1</v>
      </c>
      <c r="U96" s="46">
        <v>1</v>
      </c>
      <c r="V96" s="37">
        <f t="shared" si="8"/>
        <v>1</v>
      </c>
      <c r="W96" s="38" t="str">
        <f t="shared" si="9"/>
        <v/>
      </c>
      <c r="X96" s="39" t="str">
        <f t="shared" si="10"/>
        <v/>
      </c>
      <c r="Y96" s="40" t="str">
        <f t="shared" si="11"/>
        <v/>
      </c>
    </row>
    <row r="97" spans="1:25" s="8" customFormat="1" ht="169.8" thickBot="1">
      <c r="A97" s="17"/>
      <c r="B97" s="31">
        <v>81</v>
      </c>
      <c r="C97" s="54" t="s">
        <v>48</v>
      </c>
      <c r="D97" s="48" t="s">
        <v>321</v>
      </c>
      <c r="E97" s="34" t="s">
        <v>322</v>
      </c>
      <c r="F97" s="48" t="s">
        <v>49</v>
      </c>
      <c r="G97" s="33" t="s">
        <v>280</v>
      </c>
      <c r="H97" s="35">
        <v>1</v>
      </c>
      <c r="I97" s="36">
        <v>1</v>
      </c>
      <c r="J97" s="37">
        <v>1</v>
      </c>
      <c r="K97" s="38" t="s">
        <v>51</v>
      </c>
      <c r="L97" s="39" t="s">
        <v>51</v>
      </c>
      <c r="M97" s="40" t="s">
        <v>51</v>
      </c>
      <c r="N97" s="48" t="s">
        <v>575</v>
      </c>
      <c r="O97" s="48" t="s">
        <v>323</v>
      </c>
      <c r="P97" s="42" t="s">
        <v>56</v>
      </c>
      <c r="Q97" s="43" t="s">
        <v>649</v>
      </c>
      <c r="R97" s="44" t="s">
        <v>53</v>
      </c>
      <c r="S97" s="43"/>
      <c r="T97" s="45">
        <v>1</v>
      </c>
      <c r="U97" s="46">
        <v>1</v>
      </c>
      <c r="V97" s="37">
        <f t="shared" si="8"/>
        <v>1</v>
      </c>
      <c r="W97" s="38" t="str">
        <f t="shared" si="9"/>
        <v/>
      </c>
      <c r="X97" s="39" t="str">
        <f t="shared" si="10"/>
        <v/>
      </c>
      <c r="Y97" s="40" t="str">
        <f t="shared" si="11"/>
        <v/>
      </c>
    </row>
    <row r="98" spans="1:25" s="8" customFormat="1" ht="113.4" thickBot="1">
      <c r="A98" s="17"/>
      <c r="B98" s="47">
        <v>82</v>
      </c>
      <c r="C98" s="54" t="s">
        <v>48</v>
      </c>
      <c r="D98" s="48" t="s">
        <v>324</v>
      </c>
      <c r="E98" s="34" t="s">
        <v>325</v>
      </c>
      <c r="F98" s="48" t="s">
        <v>49</v>
      </c>
      <c r="G98" s="33" t="s">
        <v>50</v>
      </c>
      <c r="H98" s="35">
        <v>1</v>
      </c>
      <c r="I98" s="36">
        <v>1</v>
      </c>
      <c r="J98" s="37">
        <v>1</v>
      </c>
      <c r="K98" s="38" t="s">
        <v>51</v>
      </c>
      <c r="L98" s="39" t="s">
        <v>51</v>
      </c>
      <c r="M98" s="40" t="s">
        <v>51</v>
      </c>
      <c r="N98" s="48" t="s">
        <v>576</v>
      </c>
      <c r="O98" s="48" t="s">
        <v>326</v>
      </c>
      <c r="P98" s="42" t="s">
        <v>142</v>
      </c>
      <c r="Q98" s="43" t="s">
        <v>649</v>
      </c>
      <c r="R98" s="44" t="s">
        <v>53</v>
      </c>
      <c r="S98" s="43"/>
      <c r="T98" s="45">
        <v>1</v>
      </c>
      <c r="U98" s="46">
        <v>1</v>
      </c>
      <c r="V98" s="37">
        <f t="shared" si="8"/>
        <v>1</v>
      </c>
      <c r="W98" s="38" t="str">
        <f t="shared" si="9"/>
        <v/>
      </c>
      <c r="X98" s="39" t="str">
        <f t="shared" si="10"/>
        <v/>
      </c>
      <c r="Y98" s="40" t="str">
        <f t="shared" si="11"/>
        <v/>
      </c>
    </row>
    <row r="99" spans="1:25" s="8" customFormat="1" ht="169.8" thickBot="1">
      <c r="A99" s="17"/>
      <c r="B99" s="31">
        <v>83</v>
      </c>
      <c r="C99" s="54" t="s">
        <v>48</v>
      </c>
      <c r="D99" s="48" t="s">
        <v>327</v>
      </c>
      <c r="E99" s="34" t="s">
        <v>315</v>
      </c>
      <c r="F99" s="48" t="s">
        <v>49</v>
      </c>
      <c r="G99" s="33" t="s">
        <v>218</v>
      </c>
      <c r="H99" s="35">
        <v>1</v>
      </c>
      <c r="I99" s="36">
        <v>1</v>
      </c>
      <c r="J99" s="37">
        <v>1</v>
      </c>
      <c r="K99" s="38" t="s">
        <v>51</v>
      </c>
      <c r="L99" s="39" t="s">
        <v>51</v>
      </c>
      <c r="M99" s="40" t="s">
        <v>51</v>
      </c>
      <c r="N99" s="48" t="s">
        <v>577</v>
      </c>
      <c r="O99" s="48" t="s">
        <v>328</v>
      </c>
      <c r="P99" s="42" t="s">
        <v>226</v>
      </c>
      <c r="Q99" s="43" t="s">
        <v>649</v>
      </c>
      <c r="R99" s="44" t="s">
        <v>53</v>
      </c>
      <c r="S99" s="43"/>
      <c r="T99" s="45">
        <v>1</v>
      </c>
      <c r="U99" s="46">
        <v>1</v>
      </c>
      <c r="V99" s="37">
        <f t="shared" si="8"/>
        <v>1</v>
      </c>
      <c r="W99" s="38" t="str">
        <f t="shared" si="9"/>
        <v/>
      </c>
      <c r="X99" s="39" t="str">
        <f t="shared" si="10"/>
        <v/>
      </c>
      <c r="Y99" s="40" t="str">
        <f t="shared" si="11"/>
        <v/>
      </c>
    </row>
    <row r="100" spans="1:25" s="8" customFormat="1" ht="113.4" thickBot="1">
      <c r="A100" s="17"/>
      <c r="B100" s="47">
        <v>84</v>
      </c>
      <c r="C100" s="54" t="s">
        <v>48</v>
      </c>
      <c r="D100" s="48" t="s">
        <v>329</v>
      </c>
      <c r="E100" s="34" t="s">
        <v>330</v>
      </c>
      <c r="F100" s="48" t="s">
        <v>49</v>
      </c>
      <c r="G100" s="33" t="s">
        <v>170</v>
      </c>
      <c r="H100" s="35">
        <v>1</v>
      </c>
      <c r="I100" s="36">
        <v>1</v>
      </c>
      <c r="J100" s="37">
        <v>1</v>
      </c>
      <c r="K100" s="38" t="s">
        <v>51</v>
      </c>
      <c r="L100" s="39" t="s">
        <v>51</v>
      </c>
      <c r="M100" s="40" t="s">
        <v>51</v>
      </c>
      <c r="N100" s="48" t="s">
        <v>635</v>
      </c>
      <c r="O100" s="48" t="s">
        <v>331</v>
      </c>
      <c r="P100" s="42" t="s">
        <v>56</v>
      </c>
      <c r="Q100" s="43" t="s">
        <v>649</v>
      </c>
      <c r="R100" s="44" t="s">
        <v>53</v>
      </c>
      <c r="S100" s="43"/>
      <c r="T100" s="45">
        <v>1</v>
      </c>
      <c r="U100" s="46">
        <v>1</v>
      </c>
      <c r="V100" s="37">
        <f t="shared" si="8"/>
        <v>1</v>
      </c>
      <c r="W100" s="38" t="str">
        <f t="shared" si="9"/>
        <v/>
      </c>
      <c r="X100" s="39" t="str">
        <f t="shared" si="10"/>
        <v/>
      </c>
      <c r="Y100" s="40" t="str">
        <f t="shared" si="11"/>
        <v/>
      </c>
    </row>
    <row r="101" spans="1:25" s="8" customFormat="1" ht="85.2" thickBot="1">
      <c r="A101" s="17"/>
      <c r="B101" s="31">
        <v>85</v>
      </c>
      <c r="C101" s="54" t="s">
        <v>48</v>
      </c>
      <c r="D101" s="48" t="s">
        <v>332</v>
      </c>
      <c r="E101" s="34" t="s">
        <v>333</v>
      </c>
      <c r="F101" s="48" t="s">
        <v>49</v>
      </c>
      <c r="G101" s="33" t="s">
        <v>50</v>
      </c>
      <c r="H101" s="35">
        <v>1</v>
      </c>
      <c r="I101" s="36">
        <v>1</v>
      </c>
      <c r="J101" s="37">
        <v>1</v>
      </c>
      <c r="K101" s="38" t="s">
        <v>51</v>
      </c>
      <c r="L101" s="39" t="s">
        <v>51</v>
      </c>
      <c r="M101" s="40" t="s">
        <v>51</v>
      </c>
      <c r="N101" s="48" t="s">
        <v>578</v>
      </c>
      <c r="O101" s="48" t="s">
        <v>334</v>
      </c>
      <c r="P101" s="42" t="s">
        <v>236</v>
      </c>
      <c r="Q101" s="43" t="s">
        <v>649</v>
      </c>
      <c r="R101" s="44" t="s">
        <v>53</v>
      </c>
      <c r="S101" s="43"/>
      <c r="T101" s="45">
        <v>1</v>
      </c>
      <c r="U101" s="46">
        <v>1</v>
      </c>
      <c r="V101" s="37">
        <f t="shared" si="8"/>
        <v>1</v>
      </c>
      <c r="W101" s="38" t="str">
        <f t="shared" si="9"/>
        <v/>
      </c>
      <c r="X101" s="39" t="str">
        <f t="shared" si="10"/>
        <v/>
      </c>
      <c r="Y101" s="40" t="str">
        <f t="shared" si="11"/>
        <v/>
      </c>
    </row>
    <row r="102" spans="1:25" s="8" customFormat="1" ht="141.6" thickBot="1">
      <c r="A102" s="17"/>
      <c r="B102" s="47">
        <v>86</v>
      </c>
      <c r="C102" s="54" t="s">
        <v>48</v>
      </c>
      <c r="D102" s="48" t="s">
        <v>335</v>
      </c>
      <c r="E102" s="34" t="s">
        <v>336</v>
      </c>
      <c r="F102" s="48" t="s">
        <v>49</v>
      </c>
      <c r="G102" s="33" t="s">
        <v>50</v>
      </c>
      <c r="H102" s="35">
        <v>1</v>
      </c>
      <c r="I102" s="36">
        <v>1</v>
      </c>
      <c r="J102" s="37">
        <v>1</v>
      </c>
      <c r="K102" s="38" t="s">
        <v>51</v>
      </c>
      <c r="L102" s="39" t="s">
        <v>51</v>
      </c>
      <c r="M102" s="40" t="s">
        <v>51</v>
      </c>
      <c r="N102" s="48" t="s">
        <v>579</v>
      </c>
      <c r="O102" s="48" t="s">
        <v>337</v>
      </c>
      <c r="P102" s="42" t="s">
        <v>338</v>
      </c>
      <c r="Q102" s="43" t="s">
        <v>649</v>
      </c>
      <c r="R102" s="44" t="s">
        <v>53</v>
      </c>
      <c r="S102" s="43"/>
      <c r="T102" s="45">
        <v>1</v>
      </c>
      <c r="U102" s="46">
        <v>1</v>
      </c>
      <c r="V102" s="37">
        <f t="shared" si="8"/>
        <v>1</v>
      </c>
      <c r="W102" s="38" t="str">
        <f t="shared" si="9"/>
        <v/>
      </c>
      <c r="X102" s="39" t="str">
        <f t="shared" si="10"/>
        <v/>
      </c>
      <c r="Y102" s="40" t="str">
        <f t="shared" si="11"/>
        <v/>
      </c>
    </row>
    <row r="103" spans="1:25" s="8" customFormat="1" ht="198" thickBot="1">
      <c r="A103" s="17"/>
      <c r="B103" s="31">
        <v>87</v>
      </c>
      <c r="C103" s="54" t="s">
        <v>48</v>
      </c>
      <c r="D103" s="48" t="s">
        <v>339</v>
      </c>
      <c r="E103" s="34" t="s">
        <v>340</v>
      </c>
      <c r="F103" s="48" t="s">
        <v>49</v>
      </c>
      <c r="G103" s="33" t="s">
        <v>254</v>
      </c>
      <c r="H103" s="35">
        <v>1</v>
      </c>
      <c r="I103" s="36">
        <v>1</v>
      </c>
      <c r="J103" s="37">
        <v>1</v>
      </c>
      <c r="K103" s="38" t="s">
        <v>51</v>
      </c>
      <c r="L103" s="39" t="s">
        <v>51</v>
      </c>
      <c r="M103" s="40" t="s">
        <v>51</v>
      </c>
      <c r="N103" s="48" t="s">
        <v>580</v>
      </c>
      <c r="O103" s="48" t="s">
        <v>341</v>
      </c>
      <c r="P103" s="42" t="s">
        <v>342</v>
      </c>
      <c r="Q103" s="43" t="s">
        <v>649</v>
      </c>
      <c r="R103" s="44" t="s">
        <v>53</v>
      </c>
      <c r="S103" s="43"/>
      <c r="T103" s="45">
        <v>1</v>
      </c>
      <c r="U103" s="46">
        <v>1</v>
      </c>
      <c r="V103" s="37">
        <f t="shared" si="8"/>
        <v>1</v>
      </c>
      <c r="W103" s="38" t="str">
        <f t="shared" si="9"/>
        <v/>
      </c>
      <c r="X103" s="39" t="str">
        <f t="shared" si="10"/>
        <v/>
      </c>
      <c r="Y103" s="40" t="str">
        <f t="shared" si="11"/>
        <v/>
      </c>
    </row>
    <row r="104" spans="1:25" s="8" customFormat="1" ht="226.2" thickBot="1">
      <c r="A104" s="17"/>
      <c r="B104" s="47">
        <v>88</v>
      </c>
      <c r="C104" s="54" t="s">
        <v>48</v>
      </c>
      <c r="D104" s="48" t="s">
        <v>343</v>
      </c>
      <c r="E104" s="34" t="s">
        <v>344</v>
      </c>
      <c r="F104" s="48" t="s">
        <v>49</v>
      </c>
      <c r="G104" s="33" t="s">
        <v>50</v>
      </c>
      <c r="H104" s="35">
        <v>1</v>
      </c>
      <c r="I104" s="36">
        <v>1</v>
      </c>
      <c r="J104" s="37">
        <v>1</v>
      </c>
      <c r="K104" s="38" t="s">
        <v>51</v>
      </c>
      <c r="L104" s="39" t="s">
        <v>51</v>
      </c>
      <c r="M104" s="40" t="s">
        <v>51</v>
      </c>
      <c r="N104" s="48" t="s">
        <v>581</v>
      </c>
      <c r="O104" s="48" t="s">
        <v>284</v>
      </c>
      <c r="P104" s="42" t="s">
        <v>342</v>
      </c>
      <c r="Q104" s="43" t="s">
        <v>649</v>
      </c>
      <c r="R104" s="44" t="s">
        <v>53</v>
      </c>
      <c r="S104" s="43"/>
      <c r="T104" s="45">
        <v>1</v>
      </c>
      <c r="U104" s="46">
        <v>1</v>
      </c>
      <c r="V104" s="37">
        <f t="shared" si="8"/>
        <v>1</v>
      </c>
      <c r="W104" s="38" t="str">
        <f t="shared" si="9"/>
        <v/>
      </c>
      <c r="X104" s="39" t="str">
        <f t="shared" si="10"/>
        <v/>
      </c>
      <c r="Y104" s="40" t="str">
        <f t="shared" si="11"/>
        <v/>
      </c>
    </row>
    <row r="105" spans="1:25" s="8" customFormat="1" ht="169.8" thickBot="1">
      <c r="A105" s="17"/>
      <c r="B105" s="31">
        <v>89</v>
      </c>
      <c r="C105" s="54" t="s">
        <v>48</v>
      </c>
      <c r="D105" s="48" t="s">
        <v>345</v>
      </c>
      <c r="E105" s="34" t="s">
        <v>346</v>
      </c>
      <c r="F105" s="48" t="s">
        <v>49</v>
      </c>
      <c r="G105" s="33" t="s">
        <v>50</v>
      </c>
      <c r="H105" s="35">
        <v>1</v>
      </c>
      <c r="I105" s="36">
        <v>1</v>
      </c>
      <c r="J105" s="37">
        <v>1</v>
      </c>
      <c r="K105" s="38" t="s">
        <v>51</v>
      </c>
      <c r="L105" s="39" t="s">
        <v>51</v>
      </c>
      <c r="M105" s="40" t="s">
        <v>51</v>
      </c>
      <c r="N105" s="48" t="s">
        <v>636</v>
      </c>
      <c r="O105" s="48" t="s">
        <v>347</v>
      </c>
      <c r="P105" s="42" t="s">
        <v>342</v>
      </c>
      <c r="Q105" s="43" t="s">
        <v>649</v>
      </c>
      <c r="R105" s="44" t="s">
        <v>53</v>
      </c>
      <c r="S105" s="43"/>
      <c r="T105" s="45">
        <v>1</v>
      </c>
      <c r="U105" s="46">
        <v>1</v>
      </c>
      <c r="V105" s="37">
        <f t="shared" si="8"/>
        <v>1</v>
      </c>
      <c r="W105" s="38" t="str">
        <f t="shared" si="9"/>
        <v/>
      </c>
      <c r="X105" s="39" t="str">
        <f t="shared" si="10"/>
        <v/>
      </c>
      <c r="Y105" s="40" t="str">
        <f t="shared" si="11"/>
        <v/>
      </c>
    </row>
    <row r="106" spans="1:25" s="8" customFormat="1" ht="169.8" thickBot="1">
      <c r="A106" s="17"/>
      <c r="B106" s="47">
        <v>90</v>
      </c>
      <c r="C106" s="54" t="s">
        <v>48</v>
      </c>
      <c r="D106" s="48" t="s">
        <v>348</v>
      </c>
      <c r="E106" s="34" t="s">
        <v>349</v>
      </c>
      <c r="F106" s="48" t="s">
        <v>49</v>
      </c>
      <c r="G106" s="33" t="s">
        <v>170</v>
      </c>
      <c r="H106" s="35">
        <v>1</v>
      </c>
      <c r="I106" s="36">
        <v>1</v>
      </c>
      <c r="J106" s="37">
        <v>1</v>
      </c>
      <c r="K106" s="38" t="s">
        <v>51</v>
      </c>
      <c r="L106" s="39" t="s">
        <v>51</v>
      </c>
      <c r="M106" s="40" t="s">
        <v>51</v>
      </c>
      <c r="N106" s="48" t="s">
        <v>670</v>
      </c>
      <c r="O106" s="48" t="s">
        <v>350</v>
      </c>
      <c r="P106" s="42" t="s">
        <v>56</v>
      </c>
      <c r="Q106" s="43" t="s">
        <v>649</v>
      </c>
      <c r="R106" s="44" t="s">
        <v>53</v>
      </c>
      <c r="S106" s="43"/>
      <c r="T106" s="45">
        <v>1</v>
      </c>
      <c r="U106" s="46">
        <v>1</v>
      </c>
      <c r="V106" s="37">
        <f t="shared" si="8"/>
        <v>1</v>
      </c>
      <c r="W106" s="38" t="str">
        <f t="shared" si="9"/>
        <v/>
      </c>
      <c r="X106" s="39" t="str">
        <f t="shared" si="10"/>
        <v/>
      </c>
      <c r="Y106" s="40" t="str">
        <f t="shared" si="11"/>
        <v/>
      </c>
    </row>
    <row r="107" spans="1:25" s="8" customFormat="1" ht="85.2" thickBot="1">
      <c r="A107" s="17"/>
      <c r="B107" s="31">
        <v>91</v>
      </c>
      <c r="C107" s="54" t="s">
        <v>48</v>
      </c>
      <c r="D107" s="48" t="s">
        <v>351</v>
      </c>
      <c r="E107" s="34" t="s">
        <v>242</v>
      </c>
      <c r="F107" s="48" t="s">
        <v>49</v>
      </c>
      <c r="G107" s="33" t="s">
        <v>50</v>
      </c>
      <c r="H107" s="35">
        <v>1</v>
      </c>
      <c r="I107" s="36">
        <v>1</v>
      </c>
      <c r="J107" s="37">
        <v>1</v>
      </c>
      <c r="K107" s="38" t="s">
        <v>51</v>
      </c>
      <c r="L107" s="39" t="s">
        <v>51</v>
      </c>
      <c r="M107" s="40" t="s">
        <v>51</v>
      </c>
      <c r="N107" s="48" t="s">
        <v>671</v>
      </c>
      <c r="O107" s="48" t="s">
        <v>352</v>
      </c>
      <c r="P107" s="42" t="s">
        <v>58</v>
      </c>
      <c r="Q107" s="43" t="s">
        <v>649</v>
      </c>
      <c r="R107" s="44" t="s">
        <v>53</v>
      </c>
      <c r="S107" s="43"/>
      <c r="T107" s="45">
        <v>1</v>
      </c>
      <c r="U107" s="46">
        <v>1</v>
      </c>
      <c r="V107" s="37">
        <f t="shared" si="8"/>
        <v>1</v>
      </c>
      <c r="W107" s="38" t="str">
        <f t="shared" si="9"/>
        <v/>
      </c>
      <c r="X107" s="39" t="str">
        <f t="shared" si="10"/>
        <v/>
      </c>
      <c r="Y107" s="40" t="str">
        <f t="shared" si="11"/>
        <v/>
      </c>
    </row>
    <row r="108" spans="1:25" s="8" customFormat="1" ht="141.6" thickBot="1">
      <c r="A108" s="17"/>
      <c r="B108" s="47">
        <v>92</v>
      </c>
      <c r="C108" s="54" t="s">
        <v>48</v>
      </c>
      <c r="D108" s="48" t="s">
        <v>353</v>
      </c>
      <c r="E108" s="34" t="s">
        <v>354</v>
      </c>
      <c r="F108" s="48" t="s">
        <v>49</v>
      </c>
      <c r="G108" s="33" t="s">
        <v>254</v>
      </c>
      <c r="H108" s="35">
        <v>1</v>
      </c>
      <c r="I108" s="36">
        <v>1</v>
      </c>
      <c r="J108" s="37">
        <v>1</v>
      </c>
      <c r="K108" s="38" t="s">
        <v>51</v>
      </c>
      <c r="L108" s="39" t="s">
        <v>51</v>
      </c>
      <c r="M108" s="40" t="s">
        <v>51</v>
      </c>
      <c r="N108" s="48" t="s">
        <v>702</v>
      </c>
      <c r="O108" s="48" t="s">
        <v>355</v>
      </c>
      <c r="P108" s="42" t="s">
        <v>56</v>
      </c>
      <c r="Q108" s="43" t="s">
        <v>649</v>
      </c>
      <c r="R108" s="44" t="s">
        <v>53</v>
      </c>
      <c r="S108" s="43"/>
      <c r="T108" s="45">
        <v>1</v>
      </c>
      <c r="U108" s="46">
        <v>1</v>
      </c>
      <c r="V108" s="37">
        <f t="shared" si="8"/>
        <v>1</v>
      </c>
      <c r="W108" s="38" t="str">
        <f t="shared" si="9"/>
        <v/>
      </c>
      <c r="X108" s="39" t="str">
        <f t="shared" si="10"/>
        <v/>
      </c>
      <c r="Y108" s="40" t="str">
        <f t="shared" si="11"/>
        <v/>
      </c>
    </row>
    <row r="109" spans="1:25" s="8" customFormat="1" ht="111" thickBot="1">
      <c r="A109" s="17"/>
      <c r="B109" s="31">
        <v>93</v>
      </c>
      <c r="C109" s="54" t="s">
        <v>48</v>
      </c>
      <c r="D109" s="48" t="s">
        <v>661</v>
      </c>
      <c r="E109" s="34" t="s">
        <v>356</v>
      </c>
      <c r="F109" s="48" t="s">
        <v>49</v>
      </c>
      <c r="G109" s="33" t="s">
        <v>170</v>
      </c>
      <c r="H109" s="35">
        <v>1</v>
      </c>
      <c r="I109" s="36">
        <v>1</v>
      </c>
      <c r="J109" s="37">
        <v>1</v>
      </c>
      <c r="K109" s="38" t="s">
        <v>51</v>
      </c>
      <c r="L109" s="39" t="s">
        <v>51</v>
      </c>
      <c r="M109" s="40" t="s">
        <v>51</v>
      </c>
      <c r="N109" s="48" t="s">
        <v>582</v>
      </c>
      <c r="O109" s="48" t="s">
        <v>357</v>
      </c>
      <c r="P109" s="42" t="s">
        <v>56</v>
      </c>
      <c r="Q109" s="43" t="s">
        <v>649</v>
      </c>
      <c r="R109" s="44" t="s">
        <v>53</v>
      </c>
      <c r="S109" s="43"/>
      <c r="T109" s="45">
        <v>1</v>
      </c>
      <c r="U109" s="46">
        <v>1</v>
      </c>
      <c r="V109" s="37">
        <f t="shared" si="8"/>
        <v>1</v>
      </c>
      <c r="W109" s="38" t="str">
        <f t="shared" si="9"/>
        <v/>
      </c>
      <c r="X109" s="39" t="str">
        <f t="shared" si="10"/>
        <v/>
      </c>
      <c r="Y109" s="40" t="str">
        <f t="shared" si="11"/>
        <v/>
      </c>
    </row>
    <row r="110" spans="1:25" s="8" customFormat="1" ht="113.4" thickBot="1">
      <c r="A110" s="17"/>
      <c r="B110" s="47">
        <v>94</v>
      </c>
      <c r="C110" s="54" t="s">
        <v>48</v>
      </c>
      <c r="D110" s="48" t="s">
        <v>358</v>
      </c>
      <c r="E110" s="34" t="s">
        <v>359</v>
      </c>
      <c r="F110" s="48" t="s">
        <v>49</v>
      </c>
      <c r="G110" s="33" t="s">
        <v>50</v>
      </c>
      <c r="H110" s="35">
        <v>1</v>
      </c>
      <c r="I110" s="36">
        <v>1</v>
      </c>
      <c r="J110" s="37">
        <v>1</v>
      </c>
      <c r="K110" s="38" t="s">
        <v>51</v>
      </c>
      <c r="L110" s="39" t="s">
        <v>51</v>
      </c>
      <c r="M110" s="40" t="s">
        <v>51</v>
      </c>
      <c r="N110" s="48" t="s">
        <v>637</v>
      </c>
      <c r="O110" s="48" t="s">
        <v>360</v>
      </c>
      <c r="P110" s="42" t="s">
        <v>142</v>
      </c>
      <c r="Q110" s="43" t="s">
        <v>649</v>
      </c>
      <c r="R110" s="44" t="s">
        <v>53</v>
      </c>
      <c r="S110" s="43"/>
      <c r="T110" s="45">
        <v>1</v>
      </c>
      <c r="U110" s="46">
        <v>1</v>
      </c>
      <c r="V110" s="37">
        <f t="shared" si="8"/>
        <v>1</v>
      </c>
      <c r="W110" s="38" t="str">
        <f t="shared" si="9"/>
        <v/>
      </c>
      <c r="X110" s="39" t="str">
        <f t="shared" si="10"/>
        <v/>
      </c>
      <c r="Y110" s="40" t="str">
        <f t="shared" si="11"/>
        <v/>
      </c>
    </row>
    <row r="111" spans="1:25" s="8" customFormat="1" ht="226.2" thickBot="1">
      <c r="A111" s="17"/>
      <c r="B111" s="31">
        <v>95</v>
      </c>
      <c r="C111" s="54" t="s">
        <v>48</v>
      </c>
      <c r="D111" s="48" t="s">
        <v>361</v>
      </c>
      <c r="E111" s="34" t="s">
        <v>362</v>
      </c>
      <c r="F111" s="48" t="s">
        <v>49</v>
      </c>
      <c r="G111" s="33" t="s">
        <v>50</v>
      </c>
      <c r="H111" s="35">
        <v>1</v>
      </c>
      <c r="I111" s="36">
        <v>1</v>
      </c>
      <c r="J111" s="37">
        <v>1</v>
      </c>
      <c r="K111" s="38" t="s">
        <v>51</v>
      </c>
      <c r="L111" s="39" t="s">
        <v>51</v>
      </c>
      <c r="M111" s="40" t="s">
        <v>51</v>
      </c>
      <c r="N111" s="48" t="s">
        <v>703</v>
      </c>
      <c r="O111" s="48" t="s">
        <v>363</v>
      </c>
      <c r="P111" s="42" t="s">
        <v>342</v>
      </c>
      <c r="Q111" s="43" t="s">
        <v>649</v>
      </c>
      <c r="R111" s="44" t="s">
        <v>53</v>
      </c>
      <c r="S111" s="43"/>
      <c r="T111" s="45">
        <v>1</v>
      </c>
      <c r="U111" s="46">
        <v>1</v>
      </c>
      <c r="V111" s="37">
        <f t="shared" si="8"/>
        <v>1</v>
      </c>
      <c r="W111" s="38" t="str">
        <f t="shared" si="9"/>
        <v/>
      </c>
      <c r="X111" s="39" t="str">
        <f t="shared" si="10"/>
        <v/>
      </c>
      <c r="Y111" s="40" t="str">
        <f t="shared" si="11"/>
        <v/>
      </c>
    </row>
    <row r="112" spans="1:25" s="8" customFormat="1" ht="226.2" thickBot="1">
      <c r="A112" s="17"/>
      <c r="B112" s="47">
        <v>96</v>
      </c>
      <c r="C112" s="54" t="s">
        <v>48</v>
      </c>
      <c r="D112" s="48" t="s">
        <v>365</v>
      </c>
      <c r="E112" s="34" t="s">
        <v>366</v>
      </c>
      <c r="F112" s="48" t="s">
        <v>49</v>
      </c>
      <c r="G112" s="33" t="s">
        <v>287</v>
      </c>
      <c r="H112" s="35">
        <v>1</v>
      </c>
      <c r="I112" s="36">
        <v>1</v>
      </c>
      <c r="J112" s="37">
        <v>1</v>
      </c>
      <c r="K112" s="38" t="s">
        <v>51</v>
      </c>
      <c r="L112" s="39" t="s">
        <v>51</v>
      </c>
      <c r="M112" s="40" t="s">
        <v>51</v>
      </c>
      <c r="N112" s="48" t="s">
        <v>638</v>
      </c>
      <c r="O112" s="48" t="s">
        <v>367</v>
      </c>
      <c r="P112" s="42" t="s">
        <v>342</v>
      </c>
      <c r="Q112" s="43" t="s">
        <v>649</v>
      </c>
      <c r="R112" s="44" t="s">
        <v>53</v>
      </c>
      <c r="S112" s="43"/>
      <c r="T112" s="45">
        <v>1</v>
      </c>
      <c r="U112" s="46">
        <v>1</v>
      </c>
      <c r="V112" s="37">
        <f t="shared" si="8"/>
        <v>1</v>
      </c>
      <c r="W112" s="38" t="str">
        <f t="shared" si="9"/>
        <v/>
      </c>
      <c r="X112" s="39" t="str">
        <f t="shared" si="10"/>
        <v/>
      </c>
      <c r="Y112" s="40" t="str">
        <f t="shared" si="11"/>
        <v/>
      </c>
    </row>
    <row r="113" spans="1:25" s="8" customFormat="1" ht="166.2" thickBot="1">
      <c r="A113" s="17"/>
      <c r="B113" s="31">
        <v>97</v>
      </c>
      <c r="C113" s="54" t="s">
        <v>48</v>
      </c>
      <c r="D113" s="48" t="s">
        <v>368</v>
      </c>
      <c r="E113" s="34" t="s">
        <v>369</v>
      </c>
      <c r="F113" s="48" t="s">
        <v>49</v>
      </c>
      <c r="G113" s="33" t="s">
        <v>218</v>
      </c>
      <c r="H113" s="35">
        <v>1</v>
      </c>
      <c r="I113" s="36">
        <v>1</v>
      </c>
      <c r="J113" s="37">
        <v>1</v>
      </c>
      <c r="K113" s="38" t="s">
        <v>51</v>
      </c>
      <c r="L113" s="39" t="s">
        <v>51</v>
      </c>
      <c r="M113" s="40" t="s">
        <v>51</v>
      </c>
      <c r="N113" s="48" t="s">
        <v>583</v>
      </c>
      <c r="O113" s="48" t="s">
        <v>370</v>
      </c>
      <c r="P113" s="42" t="s">
        <v>226</v>
      </c>
      <c r="Q113" s="43" t="s">
        <v>649</v>
      </c>
      <c r="R113" s="44" t="s">
        <v>53</v>
      </c>
      <c r="S113" s="43"/>
      <c r="T113" s="45">
        <v>1</v>
      </c>
      <c r="U113" s="46">
        <v>1</v>
      </c>
      <c r="V113" s="37">
        <f t="shared" si="8"/>
        <v>1</v>
      </c>
      <c r="W113" s="38" t="str">
        <f t="shared" si="9"/>
        <v/>
      </c>
      <c r="X113" s="39" t="str">
        <f t="shared" si="10"/>
        <v/>
      </c>
      <c r="Y113" s="40" t="str">
        <f t="shared" si="11"/>
        <v/>
      </c>
    </row>
    <row r="114" spans="1:25" s="8" customFormat="1" ht="111" thickBot="1">
      <c r="A114" s="17"/>
      <c r="B114" s="47">
        <v>98</v>
      </c>
      <c r="C114" s="54" t="s">
        <v>48</v>
      </c>
      <c r="D114" s="48" t="s">
        <v>371</v>
      </c>
      <c r="E114" s="34" t="s">
        <v>286</v>
      </c>
      <c r="F114" s="48" t="s">
        <v>49</v>
      </c>
      <c r="G114" s="33" t="s">
        <v>287</v>
      </c>
      <c r="H114" s="35">
        <v>1</v>
      </c>
      <c r="I114" s="36">
        <v>1</v>
      </c>
      <c r="J114" s="37">
        <v>1</v>
      </c>
      <c r="K114" s="38" t="s">
        <v>51</v>
      </c>
      <c r="L114" s="39" t="s">
        <v>51</v>
      </c>
      <c r="M114" s="40" t="s">
        <v>51</v>
      </c>
      <c r="N114" s="48" t="s">
        <v>584</v>
      </c>
      <c r="O114" s="48" t="s">
        <v>372</v>
      </c>
      <c r="P114" s="42" t="s">
        <v>259</v>
      </c>
      <c r="Q114" s="43" t="s">
        <v>649</v>
      </c>
      <c r="R114" s="44" t="s">
        <v>53</v>
      </c>
      <c r="S114" s="43"/>
      <c r="T114" s="45">
        <v>1</v>
      </c>
      <c r="U114" s="46">
        <v>1</v>
      </c>
      <c r="V114" s="37">
        <f t="shared" si="8"/>
        <v>1</v>
      </c>
      <c r="W114" s="38" t="str">
        <f t="shared" si="9"/>
        <v/>
      </c>
      <c r="X114" s="39" t="str">
        <f t="shared" si="10"/>
        <v/>
      </c>
      <c r="Y114" s="40" t="str">
        <f t="shared" si="11"/>
        <v/>
      </c>
    </row>
    <row r="115" spans="1:25" s="8" customFormat="1" ht="254.4" thickBot="1">
      <c r="A115" s="17"/>
      <c r="B115" s="31">
        <v>99</v>
      </c>
      <c r="C115" s="54" t="s">
        <v>48</v>
      </c>
      <c r="D115" s="48" t="s">
        <v>373</v>
      </c>
      <c r="E115" s="34" t="s">
        <v>374</v>
      </c>
      <c r="F115" s="48" t="s">
        <v>49</v>
      </c>
      <c r="G115" s="33" t="s">
        <v>50</v>
      </c>
      <c r="H115" s="35">
        <v>1</v>
      </c>
      <c r="I115" s="36">
        <v>1</v>
      </c>
      <c r="J115" s="37">
        <v>1</v>
      </c>
      <c r="K115" s="38" t="s">
        <v>51</v>
      </c>
      <c r="L115" s="39" t="s">
        <v>51</v>
      </c>
      <c r="M115" s="40" t="s">
        <v>51</v>
      </c>
      <c r="N115" s="48" t="s">
        <v>585</v>
      </c>
      <c r="O115" s="48" t="s">
        <v>375</v>
      </c>
      <c r="P115" s="42" t="s">
        <v>342</v>
      </c>
      <c r="Q115" s="43" t="s">
        <v>649</v>
      </c>
      <c r="R115" s="44" t="s">
        <v>53</v>
      </c>
      <c r="S115" s="43"/>
      <c r="T115" s="45">
        <v>1</v>
      </c>
      <c r="U115" s="46">
        <v>1</v>
      </c>
      <c r="V115" s="37">
        <f t="shared" si="8"/>
        <v>1</v>
      </c>
      <c r="W115" s="38" t="str">
        <f t="shared" si="9"/>
        <v/>
      </c>
      <c r="X115" s="39" t="str">
        <f t="shared" si="10"/>
        <v/>
      </c>
      <c r="Y115" s="40" t="str">
        <f t="shared" si="11"/>
        <v/>
      </c>
    </row>
    <row r="116" spans="1:25" s="8" customFormat="1" ht="226.2" thickBot="1">
      <c r="A116" s="17"/>
      <c r="B116" s="47">
        <v>100</v>
      </c>
      <c r="C116" s="54" t="s">
        <v>48</v>
      </c>
      <c r="D116" s="48" t="s">
        <v>376</v>
      </c>
      <c r="E116" s="34" t="s">
        <v>377</v>
      </c>
      <c r="F116" s="48" t="s">
        <v>49</v>
      </c>
      <c r="G116" s="33" t="s">
        <v>50</v>
      </c>
      <c r="H116" s="35">
        <v>1</v>
      </c>
      <c r="I116" s="36">
        <v>1</v>
      </c>
      <c r="J116" s="37">
        <v>1</v>
      </c>
      <c r="K116" s="38" t="s">
        <v>51</v>
      </c>
      <c r="L116" s="39" t="s">
        <v>51</v>
      </c>
      <c r="M116" s="40" t="s">
        <v>51</v>
      </c>
      <c r="N116" s="48" t="s">
        <v>586</v>
      </c>
      <c r="O116" s="48" t="s">
        <v>378</v>
      </c>
      <c r="P116" s="42" t="s">
        <v>379</v>
      </c>
      <c r="Q116" s="43" t="s">
        <v>649</v>
      </c>
      <c r="R116" s="44" t="s">
        <v>53</v>
      </c>
      <c r="S116" s="43"/>
      <c r="T116" s="45">
        <v>1</v>
      </c>
      <c r="U116" s="46">
        <v>1</v>
      </c>
      <c r="V116" s="37">
        <f t="shared" si="8"/>
        <v>1</v>
      </c>
      <c r="W116" s="38" t="str">
        <f t="shared" si="9"/>
        <v/>
      </c>
      <c r="X116" s="39" t="str">
        <f t="shared" si="10"/>
        <v/>
      </c>
      <c r="Y116" s="40" t="str">
        <f t="shared" si="11"/>
        <v/>
      </c>
    </row>
    <row r="117" spans="1:25" s="8" customFormat="1" ht="169.8" thickBot="1">
      <c r="A117" s="17"/>
      <c r="B117" s="31">
        <v>101</v>
      </c>
      <c r="C117" s="54" t="s">
        <v>48</v>
      </c>
      <c r="D117" s="48" t="s">
        <v>380</v>
      </c>
      <c r="E117" s="34" t="s">
        <v>381</v>
      </c>
      <c r="F117" s="48" t="s">
        <v>49</v>
      </c>
      <c r="G117" s="33" t="s">
        <v>50</v>
      </c>
      <c r="H117" s="35">
        <v>1</v>
      </c>
      <c r="I117" s="36">
        <v>1</v>
      </c>
      <c r="J117" s="37">
        <v>1</v>
      </c>
      <c r="K117" s="38" t="s">
        <v>51</v>
      </c>
      <c r="L117" s="39" t="s">
        <v>51</v>
      </c>
      <c r="M117" s="40" t="s">
        <v>51</v>
      </c>
      <c r="N117" s="48" t="s">
        <v>587</v>
      </c>
      <c r="O117" s="48" t="s">
        <v>382</v>
      </c>
      <c r="P117" s="42" t="s">
        <v>142</v>
      </c>
      <c r="Q117" s="43" t="s">
        <v>649</v>
      </c>
      <c r="R117" s="44" t="s">
        <v>53</v>
      </c>
      <c r="S117" s="43"/>
      <c r="T117" s="45">
        <v>1</v>
      </c>
      <c r="U117" s="46">
        <v>1</v>
      </c>
      <c r="V117" s="37">
        <f t="shared" si="8"/>
        <v>1</v>
      </c>
      <c r="W117" s="38" t="str">
        <f t="shared" si="9"/>
        <v/>
      </c>
      <c r="X117" s="39" t="str">
        <f t="shared" si="10"/>
        <v/>
      </c>
      <c r="Y117" s="40" t="str">
        <f t="shared" si="11"/>
        <v/>
      </c>
    </row>
    <row r="118" spans="1:25" s="8" customFormat="1" ht="331.8" thickBot="1">
      <c r="A118" s="17"/>
      <c r="B118" s="47">
        <v>102</v>
      </c>
      <c r="C118" s="54" t="s">
        <v>48</v>
      </c>
      <c r="D118" s="48" t="s">
        <v>383</v>
      </c>
      <c r="E118" s="34" t="s">
        <v>315</v>
      </c>
      <c r="F118" s="48" t="s">
        <v>49</v>
      </c>
      <c r="G118" s="33" t="s">
        <v>218</v>
      </c>
      <c r="H118" s="35">
        <v>1</v>
      </c>
      <c r="I118" s="36">
        <v>1</v>
      </c>
      <c r="J118" s="37">
        <v>1</v>
      </c>
      <c r="K118" s="38" t="s">
        <v>51</v>
      </c>
      <c r="L118" s="39" t="s">
        <v>51</v>
      </c>
      <c r="M118" s="40" t="s">
        <v>51</v>
      </c>
      <c r="N118" s="48" t="s">
        <v>588</v>
      </c>
      <c r="O118" s="48" t="s">
        <v>384</v>
      </c>
      <c r="P118" s="42" t="s">
        <v>277</v>
      </c>
      <c r="Q118" s="43" t="s">
        <v>649</v>
      </c>
      <c r="R118" s="44" t="s">
        <v>53</v>
      </c>
      <c r="S118" s="43"/>
      <c r="T118" s="45">
        <v>1</v>
      </c>
      <c r="U118" s="46">
        <v>1</v>
      </c>
      <c r="V118" s="37">
        <f t="shared" si="12" ref="V118:V135">IF(U118*T118&lt;=4,U118*T118,"")</f>
        <v>1</v>
      </c>
      <c r="W118" s="38" t="str">
        <f t="shared" si="13" ref="W118:W135">IF(AND(U118*T118&gt;=5,U118*T118&lt;10),U118*T118,"")</f>
        <v/>
      </c>
      <c r="X118" s="39" t="str">
        <f t="shared" si="14" ref="X118:X135">IF(AND(U118*T118&gt;=10,U118*T118&lt;=15),U118*T118,"")</f>
        <v/>
      </c>
      <c r="Y118" s="40" t="str">
        <f t="shared" si="15" ref="Y118:Y135">IF(U118*T118&gt;=16,U118*T118,"")</f>
        <v/>
      </c>
    </row>
    <row r="119" spans="1:25" s="8" customFormat="1" ht="113.4" thickBot="1">
      <c r="A119" s="17"/>
      <c r="B119" s="31">
        <v>103</v>
      </c>
      <c r="C119" s="54" t="s">
        <v>48</v>
      </c>
      <c r="D119" s="48" t="s">
        <v>385</v>
      </c>
      <c r="E119" s="34" t="s">
        <v>672</v>
      </c>
      <c r="F119" s="48" t="s">
        <v>49</v>
      </c>
      <c r="G119" s="33" t="s">
        <v>50</v>
      </c>
      <c r="H119" s="35">
        <v>1</v>
      </c>
      <c r="I119" s="36">
        <v>1</v>
      </c>
      <c r="J119" s="37">
        <f t="shared" si="16" ref="J119">IF(I119*H119&lt;=4,I119*H119,"")</f>
        <v>1</v>
      </c>
      <c r="K119" s="38" t="str">
        <f t="shared" si="17" ref="K119">IF(AND(I119*H119&gt;=5,I119*H119&lt;10),I119*H119,"")</f>
        <v/>
      </c>
      <c r="L119" s="39" t="str">
        <f t="shared" si="18" ref="L119">IF(AND(I119*H119&gt;=10,I119*H119&lt;=15),I119*H119,"")</f>
        <v/>
      </c>
      <c r="M119" s="40" t="str">
        <f t="shared" si="19" ref="M119">IF(I119*H119&gt;=16,I119*H119,"")</f>
        <v/>
      </c>
      <c r="N119" s="48" t="s">
        <v>589</v>
      </c>
      <c r="O119" s="48" t="s">
        <v>387</v>
      </c>
      <c r="P119" s="42" t="s">
        <v>56</v>
      </c>
      <c r="Q119" s="43" t="s">
        <v>649</v>
      </c>
      <c r="R119" s="44" t="s">
        <v>53</v>
      </c>
      <c r="S119" s="43"/>
      <c r="T119" s="45">
        <v>1</v>
      </c>
      <c r="U119" s="46">
        <v>1</v>
      </c>
      <c r="V119" s="37">
        <f t="shared" si="12"/>
        <v>1</v>
      </c>
      <c r="W119" s="38" t="str">
        <f t="shared" si="13"/>
        <v/>
      </c>
      <c r="X119" s="39" t="str">
        <f t="shared" si="14"/>
        <v/>
      </c>
      <c r="Y119" s="40" t="str">
        <f t="shared" si="15"/>
        <v/>
      </c>
    </row>
    <row r="120" spans="1:25" s="8" customFormat="1" ht="166.2" thickBot="1">
      <c r="A120" s="17"/>
      <c r="B120" s="47">
        <v>104</v>
      </c>
      <c r="C120" s="54" t="s">
        <v>48</v>
      </c>
      <c r="D120" s="48" t="s">
        <v>590</v>
      </c>
      <c r="E120" s="34" t="s">
        <v>388</v>
      </c>
      <c r="F120" s="48" t="s">
        <v>49</v>
      </c>
      <c r="G120" s="33" t="s">
        <v>218</v>
      </c>
      <c r="H120" s="35">
        <v>1</v>
      </c>
      <c r="I120" s="36">
        <v>1</v>
      </c>
      <c r="J120" s="37">
        <v>1</v>
      </c>
      <c r="K120" s="38" t="s">
        <v>51</v>
      </c>
      <c r="L120" s="39" t="s">
        <v>51</v>
      </c>
      <c r="M120" s="40" t="s">
        <v>51</v>
      </c>
      <c r="N120" s="48" t="s">
        <v>591</v>
      </c>
      <c r="O120" s="48" t="s">
        <v>389</v>
      </c>
      <c r="P120" s="42" t="s">
        <v>226</v>
      </c>
      <c r="Q120" s="43" t="s">
        <v>649</v>
      </c>
      <c r="R120" s="44" t="s">
        <v>53</v>
      </c>
      <c r="S120" s="43"/>
      <c r="T120" s="45">
        <v>1</v>
      </c>
      <c r="U120" s="46">
        <v>1</v>
      </c>
      <c r="V120" s="37">
        <f t="shared" si="12"/>
        <v>1</v>
      </c>
      <c r="W120" s="38" t="str">
        <f t="shared" si="13"/>
        <v/>
      </c>
      <c r="X120" s="39" t="str">
        <f t="shared" si="14"/>
        <v/>
      </c>
      <c r="Y120" s="40" t="str">
        <f t="shared" si="15"/>
        <v/>
      </c>
    </row>
    <row r="121" spans="1:25" s="8" customFormat="1" ht="111" thickBot="1">
      <c r="A121" s="17"/>
      <c r="B121" s="31">
        <v>105</v>
      </c>
      <c r="C121" s="54" t="s">
        <v>48</v>
      </c>
      <c r="D121" s="48" t="s">
        <v>390</v>
      </c>
      <c r="E121" s="34" t="s">
        <v>391</v>
      </c>
      <c r="F121" s="48" t="s">
        <v>49</v>
      </c>
      <c r="G121" s="33" t="s">
        <v>50</v>
      </c>
      <c r="H121" s="35">
        <v>1</v>
      </c>
      <c r="I121" s="36">
        <v>1</v>
      </c>
      <c r="J121" s="37">
        <v>1</v>
      </c>
      <c r="K121" s="38" t="s">
        <v>51</v>
      </c>
      <c r="L121" s="39" t="s">
        <v>51</v>
      </c>
      <c r="M121" s="40" t="s">
        <v>51</v>
      </c>
      <c r="N121" s="48" t="s">
        <v>639</v>
      </c>
      <c r="O121" s="48" t="s">
        <v>392</v>
      </c>
      <c r="P121" s="42" t="s">
        <v>56</v>
      </c>
      <c r="Q121" s="43" t="s">
        <v>649</v>
      </c>
      <c r="R121" s="44" t="s">
        <v>53</v>
      </c>
      <c r="S121" s="43"/>
      <c r="T121" s="45">
        <v>1</v>
      </c>
      <c r="U121" s="46">
        <v>1</v>
      </c>
      <c r="V121" s="37">
        <f t="shared" si="12"/>
        <v>1</v>
      </c>
      <c r="W121" s="38" t="str">
        <f t="shared" si="13"/>
        <v/>
      </c>
      <c r="X121" s="39" t="str">
        <f t="shared" si="14"/>
        <v/>
      </c>
      <c r="Y121" s="40" t="str">
        <f t="shared" si="15"/>
        <v/>
      </c>
    </row>
    <row r="122" spans="1:25" s="8" customFormat="1" ht="113.4" thickBot="1">
      <c r="A122" s="17"/>
      <c r="B122" s="47">
        <v>106</v>
      </c>
      <c r="C122" s="54" t="s">
        <v>48</v>
      </c>
      <c r="D122" s="48" t="s">
        <v>393</v>
      </c>
      <c r="E122" s="34" t="s">
        <v>176</v>
      </c>
      <c r="F122" s="48" t="s">
        <v>49</v>
      </c>
      <c r="G122" s="33" t="s">
        <v>50</v>
      </c>
      <c r="H122" s="35">
        <v>1</v>
      </c>
      <c r="I122" s="36">
        <v>1</v>
      </c>
      <c r="J122" s="37">
        <v>1</v>
      </c>
      <c r="K122" s="38" t="s">
        <v>51</v>
      </c>
      <c r="L122" s="39" t="s">
        <v>51</v>
      </c>
      <c r="M122" s="40" t="s">
        <v>51</v>
      </c>
      <c r="N122" s="48" t="s">
        <v>592</v>
      </c>
      <c r="O122" s="48" t="s">
        <v>394</v>
      </c>
      <c r="P122" s="42" t="s">
        <v>56</v>
      </c>
      <c r="Q122" s="43" t="s">
        <v>649</v>
      </c>
      <c r="R122" s="44" t="s">
        <v>53</v>
      </c>
      <c r="S122" s="43"/>
      <c r="T122" s="45">
        <v>1</v>
      </c>
      <c r="U122" s="46">
        <v>1</v>
      </c>
      <c r="V122" s="37">
        <f t="shared" si="12"/>
        <v>1</v>
      </c>
      <c r="W122" s="38" t="str">
        <f t="shared" si="13"/>
        <v/>
      </c>
      <c r="X122" s="39" t="str">
        <f t="shared" si="14"/>
        <v/>
      </c>
      <c r="Y122" s="40" t="str">
        <f t="shared" si="15"/>
        <v/>
      </c>
    </row>
    <row r="123" spans="1:25" s="8" customFormat="1" ht="226.2" thickBot="1">
      <c r="A123" s="17"/>
      <c r="B123" s="31">
        <v>107</v>
      </c>
      <c r="C123" s="54" t="s">
        <v>48</v>
      </c>
      <c r="D123" s="48" t="s">
        <v>395</v>
      </c>
      <c r="E123" s="34" t="s">
        <v>396</v>
      </c>
      <c r="F123" s="48" t="s">
        <v>49</v>
      </c>
      <c r="G123" s="33" t="s">
        <v>287</v>
      </c>
      <c r="H123" s="35">
        <v>1</v>
      </c>
      <c r="I123" s="36">
        <v>1</v>
      </c>
      <c r="J123" s="37">
        <v>1</v>
      </c>
      <c r="K123" s="38" t="s">
        <v>51</v>
      </c>
      <c r="L123" s="39" t="s">
        <v>51</v>
      </c>
      <c r="M123" s="40" t="s">
        <v>51</v>
      </c>
      <c r="N123" s="48" t="s">
        <v>593</v>
      </c>
      <c r="O123" s="48" t="s">
        <v>397</v>
      </c>
      <c r="P123" s="42" t="s">
        <v>56</v>
      </c>
      <c r="Q123" s="43" t="s">
        <v>649</v>
      </c>
      <c r="R123" s="44" t="s">
        <v>53</v>
      </c>
      <c r="S123" s="43"/>
      <c r="T123" s="45">
        <v>1</v>
      </c>
      <c r="U123" s="46">
        <v>1</v>
      </c>
      <c r="V123" s="37">
        <f t="shared" si="12"/>
        <v>1</v>
      </c>
      <c r="W123" s="38" t="str">
        <f t="shared" si="13"/>
        <v/>
      </c>
      <c r="X123" s="39" t="str">
        <f t="shared" si="14"/>
        <v/>
      </c>
      <c r="Y123" s="40" t="str">
        <f t="shared" si="15"/>
        <v/>
      </c>
    </row>
    <row r="124" spans="1:25" s="8" customFormat="1" ht="169.8" thickBot="1">
      <c r="A124" s="17"/>
      <c r="B124" s="47">
        <v>108</v>
      </c>
      <c r="C124" s="54" t="s">
        <v>48</v>
      </c>
      <c r="D124" s="48" t="s">
        <v>398</v>
      </c>
      <c r="E124" s="34" t="s">
        <v>399</v>
      </c>
      <c r="F124" s="48" t="s">
        <v>49</v>
      </c>
      <c r="G124" s="33" t="s">
        <v>400</v>
      </c>
      <c r="H124" s="35">
        <v>1</v>
      </c>
      <c r="I124" s="36">
        <v>1</v>
      </c>
      <c r="J124" s="37">
        <v>1</v>
      </c>
      <c r="K124" s="38" t="s">
        <v>51</v>
      </c>
      <c r="L124" s="39" t="s">
        <v>51</v>
      </c>
      <c r="M124" s="40" t="s">
        <v>51</v>
      </c>
      <c r="N124" s="48" t="s">
        <v>640</v>
      </c>
      <c r="O124" s="48" t="s">
        <v>401</v>
      </c>
      <c r="P124" s="42" t="s">
        <v>56</v>
      </c>
      <c r="Q124" s="43" t="s">
        <v>649</v>
      </c>
      <c r="R124" s="44" t="s">
        <v>53</v>
      </c>
      <c r="S124" s="43"/>
      <c r="T124" s="45">
        <v>1</v>
      </c>
      <c r="U124" s="46">
        <v>1</v>
      </c>
      <c r="V124" s="37">
        <f t="shared" si="12"/>
        <v>1</v>
      </c>
      <c r="W124" s="38" t="str">
        <f t="shared" si="13"/>
        <v/>
      </c>
      <c r="X124" s="39" t="str">
        <f t="shared" si="14"/>
        <v/>
      </c>
      <c r="Y124" s="40" t="str">
        <f t="shared" si="15"/>
        <v/>
      </c>
    </row>
    <row r="125" spans="1:25" s="8" customFormat="1" ht="169.8" thickBot="1">
      <c r="A125" s="17"/>
      <c r="B125" s="31">
        <v>109</v>
      </c>
      <c r="C125" s="54" t="s">
        <v>48</v>
      </c>
      <c r="D125" s="48" t="s">
        <v>403</v>
      </c>
      <c r="E125" s="34" t="s">
        <v>404</v>
      </c>
      <c r="F125" s="48" t="s">
        <v>49</v>
      </c>
      <c r="G125" s="33" t="s">
        <v>50</v>
      </c>
      <c r="H125" s="35">
        <v>1</v>
      </c>
      <c r="I125" s="36">
        <v>1</v>
      </c>
      <c r="J125" s="37">
        <v>1</v>
      </c>
      <c r="K125" s="38" t="s">
        <v>51</v>
      </c>
      <c r="L125" s="39" t="s">
        <v>51</v>
      </c>
      <c r="M125" s="40" t="s">
        <v>51</v>
      </c>
      <c r="N125" s="48" t="s">
        <v>641</v>
      </c>
      <c r="O125" s="48" t="s">
        <v>405</v>
      </c>
      <c r="P125" s="42" t="s">
        <v>56</v>
      </c>
      <c r="Q125" s="43" t="s">
        <v>649</v>
      </c>
      <c r="R125" s="44" t="s">
        <v>53</v>
      </c>
      <c r="S125" s="43"/>
      <c r="T125" s="45">
        <v>1</v>
      </c>
      <c r="U125" s="46">
        <v>1</v>
      </c>
      <c r="V125" s="37">
        <f t="shared" si="12"/>
        <v>1</v>
      </c>
      <c r="W125" s="38" t="str">
        <f t="shared" si="13"/>
        <v/>
      </c>
      <c r="X125" s="39" t="str">
        <f t="shared" si="14"/>
        <v/>
      </c>
      <c r="Y125" s="40" t="str">
        <f t="shared" si="15"/>
        <v/>
      </c>
    </row>
    <row r="126" spans="1:25" s="8" customFormat="1" ht="166.2" thickBot="1">
      <c r="A126" s="17"/>
      <c r="B126" s="47">
        <v>110</v>
      </c>
      <c r="C126" s="54" t="s">
        <v>48</v>
      </c>
      <c r="D126" s="48" t="s">
        <v>406</v>
      </c>
      <c r="E126" s="34" t="s">
        <v>407</v>
      </c>
      <c r="F126" s="48" t="s">
        <v>49</v>
      </c>
      <c r="G126" s="33" t="s">
        <v>218</v>
      </c>
      <c r="H126" s="35">
        <v>1</v>
      </c>
      <c r="I126" s="36">
        <v>1</v>
      </c>
      <c r="J126" s="37">
        <v>1</v>
      </c>
      <c r="K126" s="38" t="s">
        <v>51</v>
      </c>
      <c r="L126" s="39" t="s">
        <v>51</v>
      </c>
      <c r="M126" s="40" t="s">
        <v>51</v>
      </c>
      <c r="N126" s="48" t="s">
        <v>600</v>
      </c>
      <c r="O126" s="48" t="s">
        <v>408</v>
      </c>
      <c r="P126" s="42" t="s">
        <v>226</v>
      </c>
      <c r="Q126" s="43" t="s">
        <v>649</v>
      </c>
      <c r="R126" s="44" t="s">
        <v>53</v>
      </c>
      <c r="S126" s="43"/>
      <c r="T126" s="45">
        <v>1</v>
      </c>
      <c r="U126" s="46">
        <v>1</v>
      </c>
      <c r="V126" s="37">
        <f t="shared" si="12"/>
        <v>1</v>
      </c>
      <c r="W126" s="38" t="str">
        <f t="shared" si="13"/>
        <v/>
      </c>
      <c r="X126" s="39" t="str">
        <f t="shared" si="14"/>
        <v/>
      </c>
      <c r="Y126" s="40" t="str">
        <f t="shared" si="15"/>
        <v/>
      </c>
    </row>
    <row r="127" spans="1:25" s="8" customFormat="1" ht="198" thickBot="1">
      <c r="A127" s="17"/>
      <c r="B127" s="31">
        <v>111</v>
      </c>
      <c r="C127" s="54" t="s">
        <v>48</v>
      </c>
      <c r="D127" s="48" t="s">
        <v>409</v>
      </c>
      <c r="E127" s="34" t="s">
        <v>410</v>
      </c>
      <c r="F127" s="48" t="s">
        <v>49</v>
      </c>
      <c r="G127" s="33" t="s">
        <v>50</v>
      </c>
      <c r="H127" s="35">
        <v>1</v>
      </c>
      <c r="I127" s="36">
        <v>1</v>
      </c>
      <c r="J127" s="37">
        <v>1</v>
      </c>
      <c r="K127" s="38" t="s">
        <v>51</v>
      </c>
      <c r="L127" s="39" t="s">
        <v>51</v>
      </c>
      <c r="M127" s="40" t="s">
        <v>51</v>
      </c>
      <c r="N127" s="48" t="s">
        <v>662</v>
      </c>
      <c r="O127" s="48" t="s">
        <v>411</v>
      </c>
      <c r="P127" s="42" t="s">
        <v>342</v>
      </c>
      <c r="Q127" s="43" t="s">
        <v>649</v>
      </c>
      <c r="R127" s="44" t="s">
        <v>53</v>
      </c>
      <c r="S127" s="43"/>
      <c r="T127" s="45">
        <v>1</v>
      </c>
      <c r="U127" s="46">
        <v>1</v>
      </c>
      <c r="V127" s="37">
        <f t="shared" si="12"/>
        <v>1</v>
      </c>
      <c r="W127" s="38" t="str">
        <f t="shared" si="13"/>
        <v/>
      </c>
      <c r="X127" s="39" t="str">
        <f t="shared" si="14"/>
        <v/>
      </c>
      <c r="Y127" s="40" t="str">
        <f t="shared" si="15"/>
        <v/>
      </c>
    </row>
    <row r="128" spans="1:25" s="8" customFormat="1" ht="166.2" thickBot="1">
      <c r="A128" s="17"/>
      <c r="B128" s="47">
        <v>112</v>
      </c>
      <c r="C128" s="54" t="s">
        <v>48</v>
      </c>
      <c r="D128" s="48" t="s">
        <v>412</v>
      </c>
      <c r="E128" s="34" t="s">
        <v>315</v>
      </c>
      <c r="F128" s="48" t="s">
        <v>49</v>
      </c>
      <c r="G128" s="33" t="s">
        <v>218</v>
      </c>
      <c r="H128" s="35">
        <v>1</v>
      </c>
      <c r="I128" s="36">
        <v>1</v>
      </c>
      <c r="J128" s="37">
        <v>1</v>
      </c>
      <c r="K128" s="38" t="s">
        <v>51</v>
      </c>
      <c r="L128" s="39" t="s">
        <v>51</v>
      </c>
      <c r="M128" s="40" t="s">
        <v>51</v>
      </c>
      <c r="N128" s="48" t="s">
        <v>642</v>
      </c>
      <c r="O128" s="48" t="s">
        <v>413</v>
      </c>
      <c r="P128" s="42" t="s">
        <v>226</v>
      </c>
      <c r="Q128" s="43" t="s">
        <v>649</v>
      </c>
      <c r="R128" s="44" t="s">
        <v>53</v>
      </c>
      <c r="S128" s="43"/>
      <c r="T128" s="45">
        <v>1</v>
      </c>
      <c r="U128" s="46">
        <v>1</v>
      </c>
      <c r="V128" s="37">
        <f t="shared" si="12"/>
        <v>1</v>
      </c>
      <c r="W128" s="38" t="str">
        <f t="shared" si="13"/>
        <v/>
      </c>
      <c r="X128" s="39" t="str">
        <f t="shared" si="14"/>
        <v/>
      </c>
      <c r="Y128" s="40" t="str">
        <f t="shared" si="15"/>
        <v/>
      </c>
    </row>
    <row r="129" spans="1:25" s="8" customFormat="1" ht="166.2" thickBot="1">
      <c r="A129" s="17"/>
      <c r="B129" s="31">
        <v>113</v>
      </c>
      <c r="C129" s="54" t="s">
        <v>48</v>
      </c>
      <c r="D129" s="48" t="s">
        <v>414</v>
      </c>
      <c r="E129" s="34" t="s">
        <v>415</v>
      </c>
      <c r="F129" s="48" t="s">
        <v>49</v>
      </c>
      <c r="G129" s="33" t="s">
        <v>218</v>
      </c>
      <c r="H129" s="35">
        <v>1</v>
      </c>
      <c r="I129" s="36">
        <v>1</v>
      </c>
      <c r="J129" s="37">
        <v>1</v>
      </c>
      <c r="K129" s="38" t="s">
        <v>51</v>
      </c>
      <c r="L129" s="39" t="s">
        <v>51</v>
      </c>
      <c r="M129" s="40" t="s">
        <v>51</v>
      </c>
      <c r="N129" s="48" t="s">
        <v>594</v>
      </c>
      <c r="O129" s="48" t="s">
        <v>416</v>
      </c>
      <c r="P129" s="42" t="s">
        <v>226</v>
      </c>
      <c r="Q129" s="43" t="s">
        <v>649</v>
      </c>
      <c r="R129" s="44" t="s">
        <v>53</v>
      </c>
      <c r="S129" s="43"/>
      <c r="T129" s="45">
        <v>1</v>
      </c>
      <c r="U129" s="46">
        <v>1</v>
      </c>
      <c r="V129" s="37">
        <f t="shared" si="12"/>
        <v>1</v>
      </c>
      <c r="W129" s="38" t="str">
        <f t="shared" si="13"/>
        <v/>
      </c>
      <c r="X129" s="39" t="str">
        <f t="shared" si="14"/>
        <v/>
      </c>
      <c r="Y129" s="40" t="str">
        <f t="shared" si="15"/>
        <v/>
      </c>
    </row>
    <row r="130" spans="1:25" s="8" customFormat="1" ht="198" thickBot="1">
      <c r="A130" s="17"/>
      <c r="B130" s="47">
        <v>114</v>
      </c>
      <c r="C130" s="54" t="s">
        <v>48</v>
      </c>
      <c r="D130" s="48" t="s">
        <v>417</v>
      </c>
      <c r="E130" s="34" t="s">
        <v>418</v>
      </c>
      <c r="F130" s="48" t="s">
        <v>49</v>
      </c>
      <c r="G130" s="33" t="s">
        <v>50</v>
      </c>
      <c r="H130" s="35">
        <v>1</v>
      </c>
      <c r="I130" s="36">
        <v>1</v>
      </c>
      <c r="J130" s="37">
        <v>1</v>
      </c>
      <c r="K130" s="38" t="s">
        <v>51</v>
      </c>
      <c r="L130" s="39" t="s">
        <v>51</v>
      </c>
      <c r="M130" s="40" t="s">
        <v>51</v>
      </c>
      <c r="N130" s="48" t="s">
        <v>663</v>
      </c>
      <c r="O130" s="48" t="s">
        <v>419</v>
      </c>
      <c r="P130" s="42" t="s">
        <v>56</v>
      </c>
      <c r="Q130" s="43" t="s">
        <v>649</v>
      </c>
      <c r="R130" s="44" t="s">
        <v>53</v>
      </c>
      <c r="S130" s="43"/>
      <c r="T130" s="45">
        <v>1</v>
      </c>
      <c r="U130" s="46">
        <v>1</v>
      </c>
      <c r="V130" s="37">
        <f t="shared" si="12"/>
        <v>1</v>
      </c>
      <c r="W130" s="38" t="str">
        <f t="shared" si="13"/>
        <v/>
      </c>
      <c r="X130" s="39" t="str">
        <f t="shared" si="14"/>
        <v/>
      </c>
      <c r="Y130" s="40" t="str">
        <f t="shared" si="15"/>
        <v/>
      </c>
    </row>
    <row r="131" spans="1:25" s="8" customFormat="1" ht="169.8" thickBot="1">
      <c r="A131" s="17"/>
      <c r="B131" s="31">
        <v>115</v>
      </c>
      <c r="C131" s="54" t="s">
        <v>48</v>
      </c>
      <c r="D131" s="48" t="s">
        <v>421</v>
      </c>
      <c r="E131" s="34" t="s">
        <v>176</v>
      </c>
      <c r="F131" s="48" t="s">
        <v>49</v>
      </c>
      <c r="G131" s="33" t="s">
        <v>50</v>
      </c>
      <c r="H131" s="35">
        <v>1</v>
      </c>
      <c r="I131" s="36">
        <v>1</v>
      </c>
      <c r="J131" s="37">
        <v>1</v>
      </c>
      <c r="K131" s="38" t="s">
        <v>51</v>
      </c>
      <c r="L131" s="39" t="s">
        <v>51</v>
      </c>
      <c r="M131" s="40" t="s">
        <v>51</v>
      </c>
      <c r="N131" s="48" t="s">
        <v>595</v>
      </c>
      <c r="O131" s="48" t="s">
        <v>422</v>
      </c>
      <c r="P131" s="42" t="s">
        <v>56</v>
      </c>
      <c r="Q131" s="43" t="s">
        <v>649</v>
      </c>
      <c r="R131" s="44" t="s">
        <v>53</v>
      </c>
      <c r="S131" s="43"/>
      <c r="T131" s="45">
        <v>1</v>
      </c>
      <c r="U131" s="46">
        <v>1</v>
      </c>
      <c r="V131" s="37">
        <f t="shared" si="12"/>
        <v>1</v>
      </c>
      <c r="W131" s="38" t="str">
        <f t="shared" si="13"/>
        <v/>
      </c>
      <c r="X131" s="39" t="str">
        <f t="shared" si="14"/>
        <v/>
      </c>
      <c r="Y131" s="40" t="str">
        <f t="shared" si="15"/>
        <v/>
      </c>
    </row>
    <row r="132" spans="1:25" s="8" customFormat="1" ht="113.4" thickBot="1">
      <c r="A132" s="17"/>
      <c r="B132" s="47">
        <v>116</v>
      </c>
      <c r="C132" s="54" t="s">
        <v>48</v>
      </c>
      <c r="D132" s="48" t="s">
        <v>423</v>
      </c>
      <c r="E132" s="34" t="s">
        <v>247</v>
      </c>
      <c r="F132" s="48" t="s">
        <v>49</v>
      </c>
      <c r="G132" s="33" t="s">
        <v>170</v>
      </c>
      <c r="H132" s="35">
        <v>1</v>
      </c>
      <c r="I132" s="36">
        <v>1</v>
      </c>
      <c r="J132" s="37">
        <v>1</v>
      </c>
      <c r="K132" s="38" t="s">
        <v>51</v>
      </c>
      <c r="L132" s="39" t="s">
        <v>51</v>
      </c>
      <c r="M132" s="40" t="s">
        <v>51</v>
      </c>
      <c r="N132" s="48" t="s">
        <v>596</v>
      </c>
      <c r="O132" s="48" t="s">
        <v>424</v>
      </c>
      <c r="P132" s="42" t="s">
        <v>56</v>
      </c>
      <c r="Q132" s="43" t="s">
        <v>649</v>
      </c>
      <c r="R132" s="44" t="s">
        <v>53</v>
      </c>
      <c r="S132" s="43"/>
      <c r="T132" s="45">
        <v>1</v>
      </c>
      <c r="U132" s="46">
        <v>1</v>
      </c>
      <c r="V132" s="37">
        <f t="shared" si="12"/>
        <v>1</v>
      </c>
      <c r="W132" s="38" t="str">
        <f t="shared" si="13"/>
        <v/>
      </c>
      <c r="X132" s="39" t="str">
        <f t="shared" si="14"/>
        <v/>
      </c>
      <c r="Y132" s="40" t="str">
        <f t="shared" si="15"/>
        <v/>
      </c>
    </row>
    <row r="133" spans="1:25" s="8" customFormat="1" ht="254.4" thickBot="1">
      <c r="A133" s="17"/>
      <c r="B133" s="31">
        <v>117</v>
      </c>
      <c r="C133" s="54" t="s">
        <v>48</v>
      </c>
      <c r="D133" s="48" t="s">
        <v>426</v>
      </c>
      <c r="E133" s="34" t="s">
        <v>427</v>
      </c>
      <c r="F133" s="48" t="s">
        <v>49</v>
      </c>
      <c r="G133" s="33" t="s">
        <v>287</v>
      </c>
      <c r="H133" s="35">
        <v>1</v>
      </c>
      <c r="I133" s="36">
        <v>1</v>
      </c>
      <c r="J133" s="37">
        <v>1</v>
      </c>
      <c r="K133" s="38" t="s">
        <v>51</v>
      </c>
      <c r="L133" s="39" t="s">
        <v>51</v>
      </c>
      <c r="M133" s="40" t="s">
        <v>51</v>
      </c>
      <c r="N133" s="48" t="s">
        <v>598</v>
      </c>
      <c r="O133" s="48" t="s">
        <v>428</v>
      </c>
      <c r="P133" s="42" t="s">
        <v>56</v>
      </c>
      <c r="Q133" s="43" t="s">
        <v>649</v>
      </c>
      <c r="R133" s="44" t="s">
        <v>53</v>
      </c>
      <c r="S133" s="43"/>
      <c r="T133" s="45">
        <v>1</v>
      </c>
      <c r="U133" s="46">
        <v>1</v>
      </c>
      <c r="V133" s="37">
        <f t="shared" si="12"/>
        <v>1</v>
      </c>
      <c r="W133" s="38" t="str">
        <f t="shared" si="13"/>
        <v/>
      </c>
      <c r="X133" s="39" t="str">
        <f t="shared" si="14"/>
        <v/>
      </c>
      <c r="Y133" s="40" t="str">
        <f t="shared" si="15"/>
        <v/>
      </c>
    </row>
    <row r="134" spans="1:25" s="8" customFormat="1" ht="166.2" thickBot="1">
      <c r="A134" s="17"/>
      <c r="B134" s="47">
        <v>118</v>
      </c>
      <c r="C134" s="54" t="s">
        <v>48</v>
      </c>
      <c r="D134" s="48" t="s">
        <v>429</v>
      </c>
      <c r="E134" s="34" t="s">
        <v>430</v>
      </c>
      <c r="F134" s="48" t="s">
        <v>49</v>
      </c>
      <c r="G134" s="33" t="s">
        <v>218</v>
      </c>
      <c r="H134" s="35">
        <v>1</v>
      </c>
      <c r="I134" s="36">
        <v>1</v>
      </c>
      <c r="J134" s="37">
        <v>1</v>
      </c>
      <c r="K134" s="38" t="s">
        <v>51</v>
      </c>
      <c r="L134" s="39" t="s">
        <v>51</v>
      </c>
      <c r="M134" s="40" t="s">
        <v>51</v>
      </c>
      <c r="N134" s="48" t="s">
        <v>597</v>
      </c>
      <c r="O134" s="48" t="s">
        <v>431</v>
      </c>
      <c r="P134" s="42" t="s">
        <v>226</v>
      </c>
      <c r="Q134" s="43" t="s">
        <v>649</v>
      </c>
      <c r="R134" s="44" t="s">
        <v>53</v>
      </c>
      <c r="S134" s="43"/>
      <c r="T134" s="45">
        <v>1</v>
      </c>
      <c r="U134" s="46">
        <v>1</v>
      </c>
      <c r="V134" s="37">
        <f t="shared" si="12"/>
        <v>1</v>
      </c>
      <c r="W134" s="38" t="str">
        <f t="shared" si="13"/>
        <v/>
      </c>
      <c r="X134" s="39" t="str">
        <f t="shared" si="14"/>
        <v/>
      </c>
      <c r="Y134" s="40" t="str">
        <f t="shared" si="15"/>
        <v/>
      </c>
    </row>
    <row r="135" spans="1:25" s="8" customFormat="1" ht="254.4" thickBot="1">
      <c r="A135" s="17"/>
      <c r="B135" s="31">
        <v>119</v>
      </c>
      <c r="C135" s="54" t="s">
        <v>48</v>
      </c>
      <c r="D135" s="48" t="s">
        <v>432</v>
      </c>
      <c r="E135" s="34" t="s">
        <v>433</v>
      </c>
      <c r="F135" s="48" t="s">
        <v>49</v>
      </c>
      <c r="G135" s="33" t="s">
        <v>50</v>
      </c>
      <c r="H135" s="35">
        <v>1</v>
      </c>
      <c r="I135" s="36">
        <v>1</v>
      </c>
      <c r="J135" s="37">
        <v>1</v>
      </c>
      <c r="K135" s="38" t="s">
        <v>51</v>
      </c>
      <c r="L135" s="39" t="s">
        <v>51</v>
      </c>
      <c r="M135" s="40" t="s">
        <v>51</v>
      </c>
      <c r="N135" s="48" t="s">
        <v>601</v>
      </c>
      <c r="O135" s="48" t="s">
        <v>434</v>
      </c>
      <c r="P135" s="42" t="s">
        <v>142</v>
      </c>
      <c r="Q135" s="43" t="s">
        <v>649</v>
      </c>
      <c r="R135" s="44" t="s">
        <v>53</v>
      </c>
      <c r="S135" s="43"/>
      <c r="T135" s="45">
        <v>1</v>
      </c>
      <c r="U135" s="46">
        <v>1</v>
      </c>
      <c r="V135" s="37">
        <f t="shared" si="12"/>
        <v>1</v>
      </c>
      <c r="W135" s="38" t="str">
        <f t="shared" si="13"/>
        <v/>
      </c>
      <c r="X135" s="39" t="str">
        <f t="shared" si="14"/>
        <v/>
      </c>
      <c r="Y135" s="40" t="str">
        <f t="shared" si="15"/>
        <v/>
      </c>
    </row>
    <row r="136" spans="1:25" s="8" customFormat="1" ht="166.2" thickBot="1">
      <c r="A136" s="17"/>
      <c r="B136" s="47">
        <v>120</v>
      </c>
      <c r="C136" s="54" t="s">
        <v>48</v>
      </c>
      <c r="D136" s="48" t="s">
        <v>435</v>
      </c>
      <c r="E136" s="34" t="s">
        <v>436</v>
      </c>
      <c r="F136" s="48" t="s">
        <v>49</v>
      </c>
      <c r="G136" s="33" t="s">
        <v>50</v>
      </c>
      <c r="H136" s="35">
        <v>1</v>
      </c>
      <c r="I136" s="36">
        <v>1</v>
      </c>
      <c r="J136" s="37">
        <v>1</v>
      </c>
      <c r="K136" s="38" t="s">
        <v>51</v>
      </c>
      <c r="L136" s="39" t="s">
        <v>51</v>
      </c>
      <c r="M136" s="40" t="s">
        <v>51</v>
      </c>
      <c r="N136" s="48" t="s">
        <v>603</v>
      </c>
      <c r="O136" s="48" t="s">
        <v>437</v>
      </c>
      <c r="P136" s="42" t="s">
        <v>342</v>
      </c>
      <c r="Q136" s="43" t="s">
        <v>649</v>
      </c>
      <c r="R136" s="44" t="s">
        <v>53</v>
      </c>
      <c r="S136" s="43"/>
      <c r="T136" s="45">
        <v>1</v>
      </c>
      <c r="U136" s="46">
        <v>1</v>
      </c>
      <c r="V136" s="37">
        <f t="shared" si="20" ref="V136:V163">IF(U136*T136&lt;=4,U136*T136,"")</f>
        <v>1</v>
      </c>
      <c r="W136" s="38" t="str">
        <f t="shared" si="21" ref="W136:W163">IF(AND(U136*T136&gt;=5,U136*T136&lt;10),U136*T136,"")</f>
        <v/>
      </c>
      <c r="X136" s="39" t="str">
        <f t="shared" si="22" ref="X136:X163">IF(AND(U136*T136&gt;=10,U136*T136&lt;=15),U136*T136,"")</f>
        <v/>
      </c>
      <c r="Y136" s="40" t="str">
        <f t="shared" si="23" ref="Y136:Y163">IF(U136*T136&gt;=16,U136*T136,"")</f>
        <v/>
      </c>
    </row>
    <row r="137" spans="1:25" s="8" customFormat="1" ht="85.2" thickBot="1">
      <c r="A137" s="17"/>
      <c r="B137" s="31">
        <v>121</v>
      </c>
      <c r="C137" s="54" t="s">
        <v>48</v>
      </c>
      <c r="D137" s="48" t="s">
        <v>438</v>
      </c>
      <c r="E137" s="34" t="s">
        <v>439</v>
      </c>
      <c r="F137" s="48" t="s">
        <v>49</v>
      </c>
      <c r="G137" s="33" t="s">
        <v>50</v>
      </c>
      <c r="H137" s="35">
        <v>1</v>
      </c>
      <c r="I137" s="36">
        <v>1</v>
      </c>
      <c r="J137" s="37">
        <v>1</v>
      </c>
      <c r="K137" s="38" t="s">
        <v>51</v>
      </c>
      <c r="L137" s="39" t="s">
        <v>51</v>
      </c>
      <c r="M137" s="40" t="s">
        <v>51</v>
      </c>
      <c r="N137" s="48" t="s">
        <v>673</v>
      </c>
      <c r="O137" s="48" t="s">
        <v>440</v>
      </c>
      <c r="P137" s="42" t="s">
        <v>142</v>
      </c>
      <c r="Q137" s="43" t="s">
        <v>649</v>
      </c>
      <c r="R137" s="44" t="s">
        <v>53</v>
      </c>
      <c r="S137" s="43"/>
      <c r="T137" s="45">
        <v>1</v>
      </c>
      <c r="U137" s="46">
        <v>1</v>
      </c>
      <c r="V137" s="37">
        <f t="shared" si="20"/>
        <v>1</v>
      </c>
      <c r="W137" s="38" t="str">
        <f t="shared" si="21"/>
        <v/>
      </c>
      <c r="X137" s="39" t="str">
        <f t="shared" si="22"/>
        <v/>
      </c>
      <c r="Y137" s="40" t="str">
        <f t="shared" si="23"/>
        <v/>
      </c>
    </row>
    <row r="138" spans="1:25" s="8" customFormat="1" ht="193.8" thickBot="1">
      <c r="A138" s="17"/>
      <c r="B138" s="47">
        <v>122</v>
      </c>
      <c r="C138" s="54" t="s">
        <v>48</v>
      </c>
      <c r="D138" s="48" t="s">
        <v>441</v>
      </c>
      <c r="E138" s="34" t="s">
        <v>442</v>
      </c>
      <c r="F138" s="48" t="s">
        <v>49</v>
      </c>
      <c r="G138" s="33" t="s">
        <v>50</v>
      </c>
      <c r="H138" s="35">
        <v>1</v>
      </c>
      <c r="I138" s="36">
        <v>1</v>
      </c>
      <c r="J138" s="37">
        <v>1</v>
      </c>
      <c r="K138" s="38" t="s">
        <v>51</v>
      </c>
      <c r="L138" s="39" t="s">
        <v>51</v>
      </c>
      <c r="M138" s="40" t="s">
        <v>51</v>
      </c>
      <c r="N138" s="48" t="s">
        <v>704</v>
      </c>
      <c r="O138" s="48" t="s">
        <v>443</v>
      </c>
      <c r="P138" s="42" t="s">
        <v>444</v>
      </c>
      <c r="Q138" s="43" t="s">
        <v>649</v>
      </c>
      <c r="R138" s="44" t="s">
        <v>53</v>
      </c>
      <c r="S138" s="43"/>
      <c r="T138" s="45">
        <v>1</v>
      </c>
      <c r="U138" s="46">
        <v>1</v>
      </c>
      <c r="V138" s="37">
        <f t="shared" si="20"/>
        <v>1</v>
      </c>
      <c r="W138" s="38" t="str">
        <f t="shared" si="21"/>
        <v/>
      </c>
      <c r="X138" s="39" t="str">
        <f t="shared" si="22"/>
        <v/>
      </c>
      <c r="Y138" s="40" t="str">
        <f t="shared" si="23"/>
        <v/>
      </c>
    </row>
    <row r="139" spans="1:25" s="8" customFormat="1" ht="193.8" thickBot="1">
      <c r="A139" s="17"/>
      <c r="B139" s="31">
        <v>123</v>
      </c>
      <c r="C139" s="54" t="s">
        <v>48</v>
      </c>
      <c r="D139" s="48" t="s">
        <v>445</v>
      </c>
      <c r="E139" s="34" t="s">
        <v>446</v>
      </c>
      <c r="F139" s="48" t="s">
        <v>49</v>
      </c>
      <c r="G139" s="33" t="s">
        <v>218</v>
      </c>
      <c r="H139" s="35">
        <v>1</v>
      </c>
      <c r="I139" s="36">
        <v>1</v>
      </c>
      <c r="J139" s="37">
        <v>1</v>
      </c>
      <c r="K139" s="38" t="s">
        <v>51</v>
      </c>
      <c r="L139" s="39" t="s">
        <v>51</v>
      </c>
      <c r="M139" s="40" t="s">
        <v>51</v>
      </c>
      <c r="N139" s="48" t="s">
        <v>604</v>
      </c>
      <c r="O139" s="48" t="s">
        <v>447</v>
      </c>
      <c r="P139" s="42" t="s">
        <v>317</v>
      </c>
      <c r="Q139" s="43" t="s">
        <v>649</v>
      </c>
      <c r="R139" s="44" t="s">
        <v>53</v>
      </c>
      <c r="S139" s="43"/>
      <c r="T139" s="45">
        <v>1</v>
      </c>
      <c r="U139" s="46">
        <v>1</v>
      </c>
      <c r="V139" s="37">
        <f t="shared" si="20"/>
        <v>1</v>
      </c>
      <c r="W139" s="38" t="str">
        <f t="shared" si="21"/>
        <v/>
      </c>
      <c r="X139" s="39" t="str">
        <f t="shared" si="22"/>
        <v/>
      </c>
      <c r="Y139" s="40" t="str">
        <f t="shared" si="23"/>
        <v/>
      </c>
    </row>
    <row r="140" spans="1:25" s="8" customFormat="1" ht="113.4" thickBot="1">
      <c r="A140" s="17"/>
      <c r="B140" s="47">
        <v>124</v>
      </c>
      <c r="C140" s="54" t="s">
        <v>48</v>
      </c>
      <c r="D140" s="48" t="s">
        <v>448</v>
      </c>
      <c r="E140" s="34" t="s">
        <v>449</v>
      </c>
      <c r="F140" s="48" t="s">
        <v>49</v>
      </c>
      <c r="G140" s="33" t="s">
        <v>254</v>
      </c>
      <c r="H140" s="35">
        <v>1</v>
      </c>
      <c r="I140" s="36">
        <v>1</v>
      </c>
      <c r="J140" s="37">
        <v>1</v>
      </c>
      <c r="K140" s="38" t="s">
        <v>51</v>
      </c>
      <c r="L140" s="39" t="s">
        <v>51</v>
      </c>
      <c r="M140" s="40" t="s">
        <v>51</v>
      </c>
      <c r="N140" s="48" t="s">
        <v>643</v>
      </c>
      <c r="O140" s="48" t="s">
        <v>450</v>
      </c>
      <c r="P140" s="42" t="s">
        <v>56</v>
      </c>
      <c r="Q140" s="43" t="s">
        <v>649</v>
      </c>
      <c r="R140" s="44" t="s">
        <v>53</v>
      </c>
      <c r="S140" s="43"/>
      <c r="T140" s="45">
        <v>1</v>
      </c>
      <c r="U140" s="46">
        <v>1</v>
      </c>
      <c r="V140" s="37">
        <f t="shared" si="20"/>
        <v>1</v>
      </c>
      <c r="W140" s="38" t="str">
        <f t="shared" si="21"/>
        <v/>
      </c>
      <c r="X140" s="39" t="str">
        <f t="shared" si="22"/>
        <v/>
      </c>
      <c r="Y140" s="40" t="str">
        <f t="shared" si="23"/>
        <v/>
      </c>
    </row>
    <row r="141" spans="1:25" s="8" customFormat="1" ht="166.2" thickBot="1">
      <c r="A141" s="17"/>
      <c r="B141" s="31">
        <v>125</v>
      </c>
      <c r="C141" s="54" t="s">
        <v>48</v>
      </c>
      <c r="D141" s="48" t="s">
        <v>451</v>
      </c>
      <c r="E141" s="34" t="s">
        <v>452</v>
      </c>
      <c r="F141" s="48" t="s">
        <v>49</v>
      </c>
      <c r="G141" s="33" t="s">
        <v>50</v>
      </c>
      <c r="H141" s="35">
        <v>1</v>
      </c>
      <c r="I141" s="36">
        <v>1</v>
      </c>
      <c r="J141" s="37">
        <v>1</v>
      </c>
      <c r="K141" s="38" t="s">
        <v>51</v>
      </c>
      <c r="L141" s="39" t="s">
        <v>51</v>
      </c>
      <c r="M141" s="40" t="s">
        <v>51</v>
      </c>
      <c r="N141" s="48" t="s">
        <v>605</v>
      </c>
      <c r="O141" s="48" t="s">
        <v>453</v>
      </c>
      <c r="P141" s="42" t="s">
        <v>342</v>
      </c>
      <c r="Q141" s="43" t="s">
        <v>649</v>
      </c>
      <c r="R141" s="44" t="s">
        <v>53</v>
      </c>
      <c r="S141" s="43"/>
      <c r="T141" s="45">
        <v>1</v>
      </c>
      <c r="U141" s="46">
        <v>1</v>
      </c>
      <c r="V141" s="37">
        <f t="shared" si="20"/>
        <v>1</v>
      </c>
      <c r="W141" s="38" t="str">
        <f t="shared" si="21"/>
        <v/>
      </c>
      <c r="X141" s="39" t="str">
        <f t="shared" si="22"/>
        <v/>
      </c>
      <c r="Y141" s="40" t="str">
        <f t="shared" si="23"/>
        <v/>
      </c>
    </row>
    <row r="142" spans="1:25" s="8" customFormat="1" ht="166.2" thickBot="1">
      <c r="A142" s="17"/>
      <c r="B142" s="47">
        <v>126</v>
      </c>
      <c r="C142" s="54" t="s">
        <v>48</v>
      </c>
      <c r="D142" s="48" t="s">
        <v>454</v>
      </c>
      <c r="E142" s="34" t="s">
        <v>346</v>
      </c>
      <c r="F142" s="48" t="s">
        <v>49</v>
      </c>
      <c r="G142" s="33" t="s">
        <v>287</v>
      </c>
      <c r="H142" s="35">
        <v>1</v>
      </c>
      <c r="I142" s="36">
        <v>1</v>
      </c>
      <c r="J142" s="37">
        <v>1</v>
      </c>
      <c r="K142" s="38" t="s">
        <v>51</v>
      </c>
      <c r="L142" s="39" t="s">
        <v>51</v>
      </c>
      <c r="M142" s="40" t="s">
        <v>51</v>
      </c>
      <c r="N142" s="48" t="s">
        <v>674</v>
      </c>
      <c r="O142" s="48" t="s">
        <v>455</v>
      </c>
      <c r="P142" s="42" t="s">
        <v>342</v>
      </c>
      <c r="Q142" s="43" t="s">
        <v>649</v>
      </c>
      <c r="R142" s="44" t="s">
        <v>53</v>
      </c>
      <c r="S142" s="43"/>
      <c r="T142" s="45">
        <v>1</v>
      </c>
      <c r="U142" s="46">
        <v>1</v>
      </c>
      <c r="V142" s="37">
        <f t="shared" si="20"/>
        <v>1</v>
      </c>
      <c r="W142" s="38" t="str">
        <f t="shared" si="21"/>
        <v/>
      </c>
      <c r="X142" s="39" t="str">
        <f t="shared" si="22"/>
        <v/>
      </c>
      <c r="Y142" s="40" t="str">
        <f t="shared" si="23"/>
        <v/>
      </c>
    </row>
    <row r="143" spans="1:25" s="8" customFormat="1" ht="193.8" thickBot="1">
      <c r="A143" s="17"/>
      <c r="B143" s="31">
        <v>127</v>
      </c>
      <c r="C143" s="54" t="s">
        <v>48</v>
      </c>
      <c r="D143" s="48" t="s">
        <v>456</v>
      </c>
      <c r="E143" s="34" t="s">
        <v>251</v>
      </c>
      <c r="F143" s="48" t="s">
        <v>49</v>
      </c>
      <c r="G143" s="33" t="s">
        <v>218</v>
      </c>
      <c r="H143" s="35">
        <v>1</v>
      </c>
      <c r="I143" s="36">
        <v>1</v>
      </c>
      <c r="J143" s="37">
        <v>1</v>
      </c>
      <c r="K143" s="38" t="s">
        <v>51</v>
      </c>
      <c r="L143" s="39" t="s">
        <v>51</v>
      </c>
      <c r="M143" s="40" t="s">
        <v>51</v>
      </c>
      <c r="N143" s="48" t="s">
        <v>675</v>
      </c>
      <c r="O143" s="48" t="s">
        <v>457</v>
      </c>
      <c r="P143" s="42" t="s">
        <v>425</v>
      </c>
      <c r="Q143" s="43" t="s">
        <v>649</v>
      </c>
      <c r="R143" s="44" t="s">
        <v>53</v>
      </c>
      <c r="S143" s="43"/>
      <c r="T143" s="45">
        <v>1</v>
      </c>
      <c r="U143" s="46">
        <v>1</v>
      </c>
      <c r="V143" s="37">
        <f t="shared" si="20"/>
        <v>1</v>
      </c>
      <c r="W143" s="38" t="str">
        <f t="shared" si="21"/>
        <v/>
      </c>
      <c r="X143" s="39" t="str">
        <f t="shared" si="22"/>
        <v/>
      </c>
      <c r="Y143" s="40" t="str">
        <f t="shared" si="23"/>
        <v/>
      </c>
    </row>
    <row r="144" spans="1:25" s="8" customFormat="1" ht="198" thickBot="1">
      <c r="A144" s="17"/>
      <c r="B144" s="47">
        <v>128</v>
      </c>
      <c r="C144" s="54" t="s">
        <v>48</v>
      </c>
      <c r="D144" s="48" t="s">
        <v>458</v>
      </c>
      <c r="E144" s="34" t="s">
        <v>386</v>
      </c>
      <c r="F144" s="48" t="s">
        <v>49</v>
      </c>
      <c r="G144" s="33" t="s">
        <v>170</v>
      </c>
      <c r="H144" s="35">
        <v>1</v>
      </c>
      <c r="I144" s="36">
        <v>1</v>
      </c>
      <c r="J144" s="37">
        <v>1</v>
      </c>
      <c r="K144" s="38" t="s">
        <v>51</v>
      </c>
      <c r="L144" s="39" t="s">
        <v>51</v>
      </c>
      <c r="M144" s="40" t="s">
        <v>51</v>
      </c>
      <c r="N144" s="48" t="s">
        <v>676</v>
      </c>
      <c r="O144" s="48" t="s">
        <v>459</v>
      </c>
      <c r="P144" s="42" t="s">
        <v>56</v>
      </c>
      <c r="Q144" s="43" t="s">
        <v>649</v>
      </c>
      <c r="R144" s="44" t="s">
        <v>53</v>
      </c>
      <c r="S144" s="43"/>
      <c r="T144" s="45">
        <v>1</v>
      </c>
      <c r="U144" s="46">
        <v>1</v>
      </c>
      <c r="V144" s="37">
        <f t="shared" si="20"/>
        <v>1</v>
      </c>
      <c r="W144" s="38" t="str">
        <f t="shared" si="21"/>
        <v/>
      </c>
      <c r="X144" s="39" t="str">
        <f t="shared" si="22"/>
        <v/>
      </c>
      <c r="Y144" s="40" t="str">
        <f t="shared" si="23"/>
        <v/>
      </c>
    </row>
    <row r="145" spans="1:25" s="8" customFormat="1" ht="249" thickBot="1">
      <c r="A145" s="17"/>
      <c r="B145" s="31">
        <v>129</v>
      </c>
      <c r="C145" s="54" t="s">
        <v>48</v>
      </c>
      <c r="D145" s="48" t="s">
        <v>460</v>
      </c>
      <c r="E145" s="34" t="s">
        <v>461</v>
      </c>
      <c r="F145" s="48" t="s">
        <v>49</v>
      </c>
      <c r="G145" s="33" t="s">
        <v>50</v>
      </c>
      <c r="H145" s="35">
        <v>1</v>
      </c>
      <c r="I145" s="36">
        <v>1</v>
      </c>
      <c r="J145" s="37">
        <v>1</v>
      </c>
      <c r="K145" s="38" t="s">
        <v>51</v>
      </c>
      <c r="L145" s="39" t="s">
        <v>51</v>
      </c>
      <c r="M145" s="40" t="s">
        <v>51</v>
      </c>
      <c r="N145" s="48" t="s">
        <v>664</v>
      </c>
      <c r="O145" s="48" t="s">
        <v>462</v>
      </c>
      <c r="P145" s="42" t="s">
        <v>96</v>
      </c>
      <c r="Q145" s="43" t="s">
        <v>649</v>
      </c>
      <c r="R145" s="44" t="s">
        <v>53</v>
      </c>
      <c r="S145" s="43"/>
      <c r="T145" s="45">
        <v>1</v>
      </c>
      <c r="U145" s="46">
        <v>1</v>
      </c>
      <c r="V145" s="37">
        <f t="shared" si="20"/>
        <v>1</v>
      </c>
      <c r="W145" s="38" t="str">
        <f t="shared" si="21"/>
        <v/>
      </c>
      <c r="X145" s="39" t="str">
        <f t="shared" si="22"/>
        <v/>
      </c>
      <c r="Y145" s="40" t="str">
        <f t="shared" si="23"/>
        <v/>
      </c>
    </row>
    <row r="146" spans="1:25" s="8" customFormat="1" ht="113.4" thickBot="1">
      <c r="A146" s="17"/>
      <c r="B146" s="47">
        <v>130</v>
      </c>
      <c r="C146" s="54" t="s">
        <v>48</v>
      </c>
      <c r="D146" s="48" t="s">
        <v>463</v>
      </c>
      <c r="E146" s="34" t="s">
        <v>464</v>
      </c>
      <c r="F146" s="48" t="s">
        <v>49</v>
      </c>
      <c r="G146" s="33" t="s">
        <v>50</v>
      </c>
      <c r="H146" s="35">
        <v>1</v>
      </c>
      <c r="I146" s="36">
        <v>1</v>
      </c>
      <c r="J146" s="37">
        <v>1</v>
      </c>
      <c r="K146" s="38" t="s">
        <v>51</v>
      </c>
      <c r="L146" s="39" t="s">
        <v>51</v>
      </c>
      <c r="M146" s="40" t="s">
        <v>51</v>
      </c>
      <c r="N146" s="48" t="s">
        <v>677</v>
      </c>
      <c r="O146" s="48" t="s">
        <v>465</v>
      </c>
      <c r="P146" s="42" t="s">
        <v>466</v>
      </c>
      <c r="Q146" s="43" t="s">
        <v>649</v>
      </c>
      <c r="R146" s="44" t="s">
        <v>53</v>
      </c>
      <c r="S146" s="43"/>
      <c r="T146" s="45">
        <v>1</v>
      </c>
      <c r="U146" s="46">
        <v>1</v>
      </c>
      <c r="V146" s="37">
        <f t="shared" si="20"/>
        <v>1</v>
      </c>
      <c r="W146" s="38" t="str">
        <f t="shared" si="21"/>
        <v/>
      </c>
      <c r="X146" s="39" t="str">
        <f t="shared" si="22"/>
        <v/>
      </c>
      <c r="Y146" s="40" t="str">
        <f t="shared" si="23"/>
        <v/>
      </c>
    </row>
    <row r="147" spans="1:25" s="8" customFormat="1" ht="193.8" thickBot="1">
      <c r="A147" s="17"/>
      <c r="B147" s="31">
        <v>131</v>
      </c>
      <c r="C147" s="54" t="s">
        <v>48</v>
      </c>
      <c r="D147" s="48" t="s">
        <v>468</v>
      </c>
      <c r="E147" s="34" t="s">
        <v>469</v>
      </c>
      <c r="F147" s="48" t="s">
        <v>49</v>
      </c>
      <c r="G147" s="33" t="s">
        <v>50</v>
      </c>
      <c r="H147" s="35">
        <v>1</v>
      </c>
      <c r="I147" s="36">
        <v>1</v>
      </c>
      <c r="J147" s="37">
        <v>1</v>
      </c>
      <c r="K147" s="38" t="s">
        <v>51</v>
      </c>
      <c r="L147" s="39" t="s">
        <v>51</v>
      </c>
      <c r="M147" s="40" t="s">
        <v>51</v>
      </c>
      <c r="N147" s="48" t="s">
        <v>606</v>
      </c>
      <c r="O147" s="48" t="s">
        <v>470</v>
      </c>
      <c r="P147" s="42" t="s">
        <v>467</v>
      </c>
      <c r="Q147" s="43" t="s">
        <v>649</v>
      </c>
      <c r="R147" s="44" t="s">
        <v>53</v>
      </c>
      <c r="S147" s="43"/>
      <c r="T147" s="45">
        <v>1</v>
      </c>
      <c r="U147" s="46">
        <v>1</v>
      </c>
      <c r="V147" s="37">
        <f t="shared" si="20"/>
        <v>1</v>
      </c>
      <c r="W147" s="38" t="str">
        <f t="shared" si="21"/>
        <v/>
      </c>
      <c r="X147" s="39" t="str">
        <f t="shared" si="22"/>
        <v/>
      </c>
      <c r="Y147" s="40" t="str">
        <f t="shared" si="23"/>
        <v/>
      </c>
    </row>
    <row r="148" spans="1:25" s="8" customFormat="1" ht="166.2" thickBot="1">
      <c r="A148" s="17"/>
      <c r="B148" s="47">
        <v>132</v>
      </c>
      <c r="C148" s="54" t="s">
        <v>48</v>
      </c>
      <c r="D148" s="48" t="s">
        <v>471</v>
      </c>
      <c r="E148" s="34" t="s">
        <v>402</v>
      </c>
      <c r="F148" s="48" t="s">
        <v>49</v>
      </c>
      <c r="G148" s="33" t="s">
        <v>50</v>
      </c>
      <c r="H148" s="35">
        <v>1</v>
      </c>
      <c r="I148" s="36">
        <v>1</v>
      </c>
      <c r="J148" s="37">
        <v>1</v>
      </c>
      <c r="K148" s="38" t="s">
        <v>51</v>
      </c>
      <c r="L148" s="39" t="s">
        <v>51</v>
      </c>
      <c r="M148" s="40" t="s">
        <v>51</v>
      </c>
      <c r="N148" s="48" t="s">
        <v>607</v>
      </c>
      <c r="O148" s="48" t="s">
        <v>472</v>
      </c>
      <c r="P148" s="42" t="s">
        <v>342</v>
      </c>
      <c r="Q148" s="43" t="s">
        <v>649</v>
      </c>
      <c r="R148" s="44" t="s">
        <v>53</v>
      </c>
      <c r="S148" s="43"/>
      <c r="T148" s="45">
        <v>1</v>
      </c>
      <c r="U148" s="46">
        <v>1</v>
      </c>
      <c r="V148" s="37">
        <f t="shared" si="20"/>
        <v>1</v>
      </c>
      <c r="W148" s="38" t="str">
        <f t="shared" si="21"/>
        <v/>
      </c>
      <c r="X148" s="39" t="str">
        <f t="shared" si="22"/>
        <v/>
      </c>
      <c r="Y148" s="40" t="str">
        <f t="shared" si="23"/>
        <v/>
      </c>
    </row>
    <row r="149" spans="1:25" s="8" customFormat="1" ht="226.2" thickBot="1">
      <c r="A149" s="17"/>
      <c r="B149" s="31">
        <v>133</v>
      </c>
      <c r="C149" s="54" t="s">
        <v>48</v>
      </c>
      <c r="D149" s="48" t="s">
        <v>473</v>
      </c>
      <c r="E149" s="34" t="s">
        <v>474</v>
      </c>
      <c r="F149" s="48" t="s">
        <v>49</v>
      </c>
      <c r="G149" s="33" t="s">
        <v>218</v>
      </c>
      <c r="H149" s="35">
        <v>1</v>
      </c>
      <c r="I149" s="36">
        <v>1</v>
      </c>
      <c r="J149" s="37">
        <v>1</v>
      </c>
      <c r="K149" s="38" t="s">
        <v>51</v>
      </c>
      <c r="L149" s="39" t="s">
        <v>51</v>
      </c>
      <c r="M149" s="40" t="s">
        <v>51</v>
      </c>
      <c r="N149" s="48" t="s">
        <v>644</v>
      </c>
      <c r="O149" s="48" t="s">
        <v>475</v>
      </c>
      <c r="P149" s="42" t="s">
        <v>476</v>
      </c>
      <c r="Q149" s="43" t="s">
        <v>649</v>
      </c>
      <c r="R149" s="44" t="s">
        <v>53</v>
      </c>
      <c r="S149" s="43"/>
      <c r="T149" s="45">
        <v>1</v>
      </c>
      <c r="U149" s="46">
        <v>1</v>
      </c>
      <c r="V149" s="37">
        <f t="shared" si="20"/>
        <v>1</v>
      </c>
      <c r="W149" s="38" t="str">
        <f t="shared" si="21"/>
        <v/>
      </c>
      <c r="X149" s="39" t="str">
        <f t="shared" si="22"/>
        <v/>
      </c>
      <c r="Y149" s="40" t="str">
        <f t="shared" si="23"/>
        <v/>
      </c>
    </row>
    <row r="150" spans="1:25" s="8" customFormat="1" ht="409.5" thickBot="1">
      <c r="A150" s="17"/>
      <c r="B150" s="47">
        <v>134</v>
      </c>
      <c r="C150" s="54" t="s">
        <v>48</v>
      </c>
      <c r="D150" s="48" t="s">
        <v>477</v>
      </c>
      <c r="E150" s="34" t="s">
        <v>147</v>
      </c>
      <c r="F150" s="48" t="s">
        <v>49</v>
      </c>
      <c r="G150" s="33" t="s">
        <v>50</v>
      </c>
      <c r="H150" s="35">
        <v>1</v>
      </c>
      <c r="I150" s="36">
        <v>1</v>
      </c>
      <c r="J150" s="37">
        <v>1</v>
      </c>
      <c r="K150" s="38" t="s">
        <v>51</v>
      </c>
      <c r="L150" s="39" t="s">
        <v>51</v>
      </c>
      <c r="M150" s="40" t="s">
        <v>51</v>
      </c>
      <c r="N150" s="48" t="s">
        <v>608</v>
      </c>
      <c r="O150" s="99" t="s">
        <v>478</v>
      </c>
      <c r="P150" s="95" t="s">
        <v>479</v>
      </c>
      <c r="Q150" s="43" t="s">
        <v>649</v>
      </c>
      <c r="R150" s="44" t="s">
        <v>53</v>
      </c>
      <c r="S150" s="43"/>
      <c r="T150" s="45">
        <v>1</v>
      </c>
      <c r="U150" s="46">
        <v>1</v>
      </c>
      <c r="V150" s="37">
        <f t="shared" si="20"/>
        <v>1</v>
      </c>
      <c r="W150" s="38" t="str">
        <f t="shared" si="21"/>
        <v/>
      </c>
      <c r="X150" s="39" t="str">
        <f t="shared" si="22"/>
        <v/>
      </c>
      <c r="Y150" s="40" t="str">
        <f t="shared" si="23"/>
        <v/>
      </c>
    </row>
    <row r="151" spans="1:25" s="8" customFormat="1" ht="282.6" thickBot="1">
      <c r="A151" s="17"/>
      <c r="B151" s="31">
        <v>135</v>
      </c>
      <c r="C151" s="54" t="s">
        <v>48</v>
      </c>
      <c r="D151" s="48" t="s">
        <v>480</v>
      </c>
      <c r="E151" s="34" t="s">
        <v>481</v>
      </c>
      <c r="F151" s="48" t="s">
        <v>49</v>
      </c>
      <c r="G151" s="33" t="s">
        <v>50</v>
      </c>
      <c r="H151" s="35">
        <v>1</v>
      </c>
      <c r="I151" s="36">
        <v>1</v>
      </c>
      <c r="J151" s="37">
        <v>1</v>
      </c>
      <c r="K151" s="38" t="s">
        <v>51</v>
      </c>
      <c r="L151" s="39" t="s">
        <v>51</v>
      </c>
      <c r="M151" s="40" t="s">
        <v>51</v>
      </c>
      <c r="N151" s="48" t="s">
        <v>609</v>
      </c>
      <c r="O151" s="48" t="s">
        <v>482</v>
      </c>
      <c r="P151" s="42" t="s">
        <v>483</v>
      </c>
      <c r="Q151" s="43" t="s">
        <v>649</v>
      </c>
      <c r="R151" s="44" t="s">
        <v>53</v>
      </c>
      <c r="S151" s="43"/>
      <c r="T151" s="45">
        <v>1</v>
      </c>
      <c r="U151" s="46">
        <v>1</v>
      </c>
      <c r="V151" s="37">
        <f t="shared" si="20"/>
        <v>1</v>
      </c>
      <c r="W151" s="38" t="str">
        <f t="shared" si="21"/>
        <v/>
      </c>
      <c r="X151" s="39" t="str">
        <f t="shared" si="22"/>
        <v/>
      </c>
      <c r="Y151" s="40" t="str">
        <f t="shared" si="23"/>
        <v/>
      </c>
    </row>
    <row r="152" spans="1:25" s="8" customFormat="1" ht="169.8" thickBot="1">
      <c r="A152" s="17"/>
      <c r="B152" s="47">
        <v>136</v>
      </c>
      <c r="C152" s="54" t="s">
        <v>48</v>
      </c>
      <c r="D152" s="48" t="s">
        <v>484</v>
      </c>
      <c r="E152" s="34" t="s">
        <v>485</v>
      </c>
      <c r="F152" s="48" t="s">
        <v>49</v>
      </c>
      <c r="G152" s="33" t="s">
        <v>254</v>
      </c>
      <c r="H152" s="35">
        <v>1</v>
      </c>
      <c r="I152" s="36">
        <v>1</v>
      </c>
      <c r="J152" s="37">
        <v>1</v>
      </c>
      <c r="K152" s="38" t="s">
        <v>51</v>
      </c>
      <c r="L152" s="39" t="s">
        <v>51</v>
      </c>
      <c r="M152" s="40" t="s">
        <v>51</v>
      </c>
      <c r="N152" s="48" t="s">
        <v>599</v>
      </c>
      <c r="O152" s="48" t="s">
        <v>486</v>
      </c>
      <c r="P152" s="42" t="s">
        <v>56</v>
      </c>
      <c r="Q152" s="43" t="s">
        <v>649</v>
      </c>
      <c r="R152" s="44" t="s">
        <v>53</v>
      </c>
      <c r="S152" s="43"/>
      <c r="T152" s="45">
        <v>1</v>
      </c>
      <c r="U152" s="46">
        <v>1</v>
      </c>
      <c r="V152" s="37">
        <f t="shared" si="20"/>
        <v>1</v>
      </c>
      <c r="W152" s="38" t="str">
        <f t="shared" si="21"/>
        <v/>
      </c>
      <c r="X152" s="39" t="str">
        <f t="shared" si="22"/>
        <v/>
      </c>
      <c r="Y152" s="40" t="str">
        <f t="shared" si="23"/>
        <v/>
      </c>
    </row>
    <row r="153" spans="1:25" s="8" customFormat="1" ht="254.4" thickBot="1">
      <c r="A153" s="17"/>
      <c r="B153" s="31">
        <v>137</v>
      </c>
      <c r="C153" s="54" t="s">
        <v>48</v>
      </c>
      <c r="D153" s="48" t="s">
        <v>487</v>
      </c>
      <c r="E153" s="34" t="s">
        <v>488</v>
      </c>
      <c r="F153" s="48" t="s">
        <v>49</v>
      </c>
      <c r="G153" s="33" t="s">
        <v>50</v>
      </c>
      <c r="H153" s="35">
        <v>1</v>
      </c>
      <c r="I153" s="36">
        <v>1</v>
      </c>
      <c r="J153" s="37">
        <v>1</v>
      </c>
      <c r="K153" s="38" t="s">
        <v>51</v>
      </c>
      <c r="L153" s="39" t="s">
        <v>51</v>
      </c>
      <c r="M153" s="40" t="s">
        <v>51</v>
      </c>
      <c r="N153" s="48" t="s">
        <v>602</v>
      </c>
      <c r="O153" s="48" t="s">
        <v>489</v>
      </c>
      <c r="P153" s="42" t="s">
        <v>56</v>
      </c>
      <c r="Q153" s="43" t="s">
        <v>649</v>
      </c>
      <c r="R153" s="44" t="s">
        <v>53</v>
      </c>
      <c r="S153" s="43"/>
      <c r="T153" s="45">
        <v>1</v>
      </c>
      <c r="U153" s="46">
        <v>1</v>
      </c>
      <c r="V153" s="37">
        <f t="shared" si="20"/>
        <v>1</v>
      </c>
      <c r="W153" s="38" t="str">
        <f t="shared" si="21"/>
        <v/>
      </c>
      <c r="X153" s="39" t="str">
        <f t="shared" si="22"/>
        <v/>
      </c>
      <c r="Y153" s="40" t="str">
        <f t="shared" si="23"/>
        <v/>
      </c>
    </row>
    <row r="154" spans="1:25" s="8" customFormat="1" ht="141.6" thickBot="1">
      <c r="A154" s="17"/>
      <c r="B154" s="47">
        <v>138</v>
      </c>
      <c r="C154" s="54" t="s">
        <v>48</v>
      </c>
      <c r="D154" s="48" t="s">
        <v>490</v>
      </c>
      <c r="E154" s="34" t="s">
        <v>491</v>
      </c>
      <c r="F154" s="48" t="s">
        <v>49</v>
      </c>
      <c r="G154" s="33" t="s">
        <v>218</v>
      </c>
      <c r="H154" s="35">
        <v>1</v>
      </c>
      <c r="I154" s="36">
        <v>1</v>
      </c>
      <c r="J154" s="37">
        <v>1</v>
      </c>
      <c r="K154" s="38" t="s">
        <v>51</v>
      </c>
      <c r="L154" s="39" t="s">
        <v>51</v>
      </c>
      <c r="M154" s="40" t="s">
        <v>51</v>
      </c>
      <c r="N154" s="48" t="s">
        <v>610</v>
      </c>
      <c r="O154" s="48" t="s">
        <v>492</v>
      </c>
      <c r="P154" s="42" t="s">
        <v>235</v>
      </c>
      <c r="Q154" s="43" t="s">
        <v>649</v>
      </c>
      <c r="R154" s="44" t="s">
        <v>53</v>
      </c>
      <c r="S154" s="43"/>
      <c r="T154" s="45">
        <v>1</v>
      </c>
      <c r="U154" s="46">
        <v>1</v>
      </c>
      <c r="V154" s="37">
        <f t="shared" si="20"/>
        <v>1</v>
      </c>
      <c r="W154" s="38" t="str">
        <f t="shared" si="21"/>
        <v/>
      </c>
      <c r="X154" s="39" t="str">
        <f t="shared" si="22"/>
        <v/>
      </c>
      <c r="Y154" s="40" t="str">
        <f t="shared" si="23"/>
        <v/>
      </c>
    </row>
    <row r="155" spans="1:25" s="8" customFormat="1" ht="193.8" thickBot="1">
      <c r="A155" s="17"/>
      <c r="B155" s="31">
        <v>139</v>
      </c>
      <c r="C155" s="54" t="s">
        <v>48</v>
      </c>
      <c r="D155" s="48" t="s">
        <v>493</v>
      </c>
      <c r="E155" s="34" t="s">
        <v>494</v>
      </c>
      <c r="F155" s="48" t="s">
        <v>49</v>
      </c>
      <c r="G155" s="33" t="s">
        <v>50</v>
      </c>
      <c r="H155" s="35">
        <v>1</v>
      </c>
      <c r="I155" s="36">
        <v>1</v>
      </c>
      <c r="J155" s="37">
        <v>1</v>
      </c>
      <c r="K155" s="38" t="s">
        <v>51</v>
      </c>
      <c r="L155" s="39" t="s">
        <v>51</v>
      </c>
      <c r="M155" s="40" t="s">
        <v>51</v>
      </c>
      <c r="N155" s="48" t="s">
        <v>611</v>
      </c>
      <c r="O155" s="48" t="s">
        <v>612</v>
      </c>
      <c r="P155" s="42" t="s">
        <v>467</v>
      </c>
      <c r="Q155" s="43" t="s">
        <v>649</v>
      </c>
      <c r="R155" s="44" t="s">
        <v>53</v>
      </c>
      <c r="S155" s="43"/>
      <c r="T155" s="45">
        <v>1</v>
      </c>
      <c r="U155" s="46">
        <v>1</v>
      </c>
      <c r="V155" s="37">
        <f t="shared" si="20"/>
        <v>1</v>
      </c>
      <c r="W155" s="38" t="str">
        <f t="shared" si="21"/>
        <v/>
      </c>
      <c r="X155" s="39" t="str">
        <f t="shared" si="22"/>
        <v/>
      </c>
      <c r="Y155" s="40" t="str">
        <f t="shared" si="23"/>
        <v/>
      </c>
    </row>
    <row r="156" spans="1:25" s="8" customFormat="1" ht="166.2" thickBot="1">
      <c r="A156" s="17"/>
      <c r="B156" s="47">
        <v>140</v>
      </c>
      <c r="C156" s="54" t="s">
        <v>48</v>
      </c>
      <c r="D156" s="48" t="s">
        <v>495</v>
      </c>
      <c r="E156" s="34" t="s">
        <v>388</v>
      </c>
      <c r="F156" s="48" t="s">
        <v>49</v>
      </c>
      <c r="G156" s="33" t="s">
        <v>218</v>
      </c>
      <c r="H156" s="35">
        <v>1</v>
      </c>
      <c r="I156" s="36">
        <v>1</v>
      </c>
      <c r="J156" s="37">
        <v>1</v>
      </c>
      <c r="K156" s="38" t="s">
        <v>51</v>
      </c>
      <c r="L156" s="39" t="s">
        <v>51</v>
      </c>
      <c r="M156" s="40" t="s">
        <v>51</v>
      </c>
      <c r="N156" s="48" t="s">
        <v>613</v>
      </c>
      <c r="O156" s="48" t="s">
        <v>496</v>
      </c>
      <c r="P156" s="42" t="s">
        <v>226</v>
      </c>
      <c r="Q156" s="43" t="s">
        <v>649</v>
      </c>
      <c r="R156" s="44" t="s">
        <v>53</v>
      </c>
      <c r="S156" s="43"/>
      <c r="T156" s="45">
        <v>1</v>
      </c>
      <c r="U156" s="46">
        <v>1</v>
      </c>
      <c r="V156" s="37">
        <f t="shared" si="20"/>
        <v>1</v>
      </c>
      <c r="W156" s="38" t="str">
        <f t="shared" si="21"/>
        <v/>
      </c>
      <c r="X156" s="39" t="str">
        <f t="shared" si="22"/>
        <v/>
      </c>
      <c r="Y156" s="40" t="str">
        <f t="shared" si="23"/>
        <v/>
      </c>
    </row>
    <row r="157" spans="1:25" s="8" customFormat="1" ht="166.2" thickBot="1">
      <c r="A157" s="17"/>
      <c r="B157" s="31">
        <v>141</v>
      </c>
      <c r="C157" s="54" t="s">
        <v>48</v>
      </c>
      <c r="D157" s="48" t="s">
        <v>497</v>
      </c>
      <c r="E157" s="34" t="s">
        <v>420</v>
      </c>
      <c r="F157" s="48" t="s">
        <v>49</v>
      </c>
      <c r="G157" s="33" t="s">
        <v>218</v>
      </c>
      <c r="H157" s="35">
        <v>1</v>
      </c>
      <c r="I157" s="36">
        <v>1</v>
      </c>
      <c r="J157" s="37">
        <v>1</v>
      </c>
      <c r="K157" s="38" t="s">
        <v>51</v>
      </c>
      <c r="L157" s="39" t="s">
        <v>51</v>
      </c>
      <c r="M157" s="40" t="s">
        <v>51</v>
      </c>
      <c r="N157" s="48" t="s">
        <v>614</v>
      </c>
      <c r="O157" s="48" t="s">
        <v>498</v>
      </c>
      <c r="P157" s="42" t="s">
        <v>226</v>
      </c>
      <c r="Q157" s="43" t="s">
        <v>649</v>
      </c>
      <c r="R157" s="44" t="s">
        <v>53</v>
      </c>
      <c r="S157" s="43"/>
      <c r="T157" s="45">
        <v>1</v>
      </c>
      <c r="U157" s="46">
        <v>1</v>
      </c>
      <c r="V157" s="37">
        <f t="shared" si="20"/>
        <v>1</v>
      </c>
      <c r="W157" s="38" t="str">
        <f t="shared" si="21"/>
        <v/>
      </c>
      <c r="X157" s="39" t="str">
        <f t="shared" si="22"/>
        <v/>
      </c>
      <c r="Y157" s="40" t="str">
        <f t="shared" si="23"/>
        <v/>
      </c>
    </row>
    <row r="158" spans="1:25" s="8" customFormat="1" ht="276.6" thickBot="1">
      <c r="A158" s="17"/>
      <c r="B158" s="47">
        <v>142</v>
      </c>
      <c r="C158" s="54" t="s">
        <v>48</v>
      </c>
      <c r="D158" s="48" t="s">
        <v>499</v>
      </c>
      <c r="E158" s="34" t="s">
        <v>500</v>
      </c>
      <c r="F158" s="48" t="s">
        <v>49</v>
      </c>
      <c r="G158" s="33" t="s">
        <v>50</v>
      </c>
      <c r="H158" s="35">
        <v>1</v>
      </c>
      <c r="I158" s="36">
        <v>1</v>
      </c>
      <c r="J158" s="37">
        <v>1</v>
      </c>
      <c r="K158" s="38" t="s">
        <v>51</v>
      </c>
      <c r="L158" s="39" t="s">
        <v>51</v>
      </c>
      <c r="M158" s="40" t="s">
        <v>51</v>
      </c>
      <c r="N158" s="48" t="s">
        <v>615</v>
      </c>
      <c r="O158" s="48" t="s">
        <v>501</v>
      </c>
      <c r="P158" s="42" t="s">
        <v>502</v>
      </c>
      <c r="Q158" s="43" t="s">
        <v>649</v>
      </c>
      <c r="R158" s="44" t="s">
        <v>53</v>
      </c>
      <c r="S158" s="43"/>
      <c r="T158" s="45">
        <v>1</v>
      </c>
      <c r="U158" s="46">
        <v>1</v>
      </c>
      <c r="V158" s="37">
        <f t="shared" si="20"/>
        <v>1</v>
      </c>
      <c r="W158" s="38" t="str">
        <f t="shared" si="21"/>
        <v/>
      </c>
      <c r="X158" s="39" t="str">
        <f t="shared" si="22"/>
        <v/>
      </c>
      <c r="Y158" s="40" t="str">
        <f t="shared" si="23"/>
        <v/>
      </c>
    </row>
    <row r="159" spans="1:25" s="8" customFormat="1" ht="85.2" thickBot="1">
      <c r="A159" s="17"/>
      <c r="B159" s="31">
        <v>143</v>
      </c>
      <c r="C159" s="54" t="s">
        <v>48</v>
      </c>
      <c r="D159" s="48" t="s">
        <v>503</v>
      </c>
      <c r="E159" s="34" t="s">
        <v>645</v>
      </c>
      <c r="F159" s="48" t="s">
        <v>49</v>
      </c>
      <c r="G159" s="33" t="s">
        <v>50</v>
      </c>
      <c r="H159" s="35">
        <v>1</v>
      </c>
      <c r="I159" s="36">
        <v>1</v>
      </c>
      <c r="J159" s="37">
        <v>1</v>
      </c>
      <c r="K159" s="38" t="s">
        <v>51</v>
      </c>
      <c r="L159" s="39" t="s">
        <v>51</v>
      </c>
      <c r="M159" s="40" t="s">
        <v>51</v>
      </c>
      <c r="N159" s="48" t="s">
        <v>616</v>
      </c>
      <c r="O159" s="48" t="s">
        <v>504</v>
      </c>
      <c r="P159" s="42" t="s">
        <v>142</v>
      </c>
      <c r="Q159" s="43" t="s">
        <v>649</v>
      </c>
      <c r="R159" s="44" t="s">
        <v>53</v>
      </c>
      <c r="S159" s="43"/>
      <c r="T159" s="45">
        <v>1</v>
      </c>
      <c r="U159" s="46">
        <v>1</v>
      </c>
      <c r="V159" s="37">
        <f t="shared" si="20"/>
        <v>1</v>
      </c>
      <c r="W159" s="38" t="str">
        <f t="shared" si="21"/>
        <v/>
      </c>
      <c r="X159" s="39" t="str">
        <f t="shared" si="22"/>
        <v/>
      </c>
      <c r="Y159" s="40" t="str">
        <f t="shared" si="23"/>
        <v/>
      </c>
    </row>
    <row r="160" spans="1:25" s="8" customFormat="1" ht="111" thickBot="1">
      <c r="A160" s="17"/>
      <c r="B160" s="47">
        <v>144</v>
      </c>
      <c r="C160" s="54" t="s">
        <v>48</v>
      </c>
      <c r="D160" s="48" t="s">
        <v>505</v>
      </c>
      <c r="E160" s="34" t="s">
        <v>506</v>
      </c>
      <c r="F160" s="48" t="s">
        <v>49</v>
      </c>
      <c r="G160" s="33" t="s">
        <v>170</v>
      </c>
      <c r="H160" s="35">
        <v>1</v>
      </c>
      <c r="I160" s="36">
        <v>1</v>
      </c>
      <c r="J160" s="37">
        <v>1</v>
      </c>
      <c r="K160" s="38" t="s">
        <v>51</v>
      </c>
      <c r="L160" s="39" t="s">
        <v>51</v>
      </c>
      <c r="M160" s="40" t="s">
        <v>51</v>
      </c>
      <c r="N160" s="48" t="s">
        <v>646</v>
      </c>
      <c r="O160" s="48" t="s">
        <v>507</v>
      </c>
      <c r="P160" s="42" t="s">
        <v>56</v>
      </c>
      <c r="Q160" s="43" t="s">
        <v>649</v>
      </c>
      <c r="R160" s="44" t="s">
        <v>53</v>
      </c>
      <c r="S160" s="43"/>
      <c r="T160" s="45">
        <v>1</v>
      </c>
      <c r="U160" s="46">
        <v>1</v>
      </c>
      <c r="V160" s="37">
        <f t="shared" si="20"/>
        <v>1</v>
      </c>
      <c r="W160" s="38" t="str">
        <f t="shared" si="21"/>
        <v/>
      </c>
      <c r="X160" s="39" t="str">
        <f t="shared" si="22"/>
        <v/>
      </c>
      <c r="Y160" s="40" t="str">
        <f t="shared" si="23"/>
        <v/>
      </c>
    </row>
    <row r="161" spans="1:25" s="8" customFormat="1" ht="113.4" thickBot="1">
      <c r="A161" s="17"/>
      <c r="B161" s="31">
        <v>145</v>
      </c>
      <c r="C161" s="54" t="s">
        <v>48</v>
      </c>
      <c r="D161" s="48" t="s">
        <v>508</v>
      </c>
      <c r="E161" s="34" t="s">
        <v>509</v>
      </c>
      <c r="F161" s="48" t="s">
        <v>49</v>
      </c>
      <c r="G161" s="33" t="s">
        <v>50</v>
      </c>
      <c r="H161" s="35">
        <v>1</v>
      </c>
      <c r="I161" s="36">
        <v>1</v>
      </c>
      <c r="J161" s="37">
        <v>1</v>
      </c>
      <c r="K161" s="38" t="s">
        <v>51</v>
      </c>
      <c r="L161" s="39" t="s">
        <v>51</v>
      </c>
      <c r="M161" s="40" t="s">
        <v>51</v>
      </c>
      <c r="N161" s="48" t="s">
        <v>617</v>
      </c>
      <c r="O161" s="48" t="s">
        <v>510</v>
      </c>
      <c r="P161" s="42" t="s">
        <v>142</v>
      </c>
      <c r="Q161" s="43" t="s">
        <v>649</v>
      </c>
      <c r="R161" s="44" t="s">
        <v>53</v>
      </c>
      <c r="S161" s="43"/>
      <c r="T161" s="45">
        <v>1</v>
      </c>
      <c r="U161" s="46">
        <v>1</v>
      </c>
      <c r="V161" s="37">
        <f t="shared" si="20"/>
        <v>1</v>
      </c>
      <c r="W161" s="38" t="str">
        <f t="shared" si="21"/>
        <v/>
      </c>
      <c r="X161" s="39" t="str">
        <f t="shared" si="22"/>
        <v/>
      </c>
      <c r="Y161" s="40" t="str">
        <f t="shared" si="23"/>
        <v/>
      </c>
    </row>
    <row r="162" spans="1:25" s="8" customFormat="1" ht="85.2" thickBot="1">
      <c r="A162" s="17"/>
      <c r="B162" s="47">
        <v>146</v>
      </c>
      <c r="C162" s="54" t="s">
        <v>48</v>
      </c>
      <c r="D162" s="48" t="s">
        <v>511</v>
      </c>
      <c r="E162" s="34" t="s">
        <v>647</v>
      </c>
      <c r="F162" s="48" t="s">
        <v>49</v>
      </c>
      <c r="G162" s="33" t="s">
        <v>50</v>
      </c>
      <c r="H162" s="35">
        <v>1</v>
      </c>
      <c r="I162" s="36">
        <v>1</v>
      </c>
      <c r="J162" s="37">
        <v>1</v>
      </c>
      <c r="K162" s="38" t="s">
        <v>51</v>
      </c>
      <c r="L162" s="39" t="s">
        <v>51</v>
      </c>
      <c r="M162" s="40" t="s">
        <v>51</v>
      </c>
      <c r="N162" s="48" t="s">
        <v>618</v>
      </c>
      <c r="O162" s="48" t="s">
        <v>297</v>
      </c>
      <c r="P162" s="42" t="s">
        <v>142</v>
      </c>
      <c r="Q162" s="43" t="s">
        <v>649</v>
      </c>
      <c r="R162" s="44" t="s">
        <v>53</v>
      </c>
      <c r="S162" s="43"/>
      <c r="T162" s="45">
        <v>1</v>
      </c>
      <c r="U162" s="46">
        <v>1</v>
      </c>
      <c r="V162" s="37">
        <f t="shared" si="20"/>
        <v>1</v>
      </c>
      <c r="W162" s="38" t="str">
        <f t="shared" si="21"/>
        <v/>
      </c>
      <c r="X162" s="39" t="str">
        <f t="shared" si="22"/>
        <v/>
      </c>
      <c r="Y162" s="40" t="str">
        <f t="shared" si="23"/>
        <v/>
      </c>
    </row>
    <row r="163" spans="1:25" s="8" customFormat="1" ht="141.6" thickBot="1">
      <c r="A163" s="17"/>
      <c r="B163" s="31">
        <v>147</v>
      </c>
      <c r="C163" s="54" t="s">
        <v>48</v>
      </c>
      <c r="D163" s="48" t="s">
        <v>512</v>
      </c>
      <c r="E163" s="34" t="s">
        <v>513</v>
      </c>
      <c r="F163" s="48" t="s">
        <v>49</v>
      </c>
      <c r="G163" s="33" t="s">
        <v>170</v>
      </c>
      <c r="H163" s="35">
        <v>1</v>
      </c>
      <c r="I163" s="36">
        <v>1</v>
      </c>
      <c r="J163" s="37">
        <v>1</v>
      </c>
      <c r="K163" s="38" t="s">
        <v>51</v>
      </c>
      <c r="L163" s="39" t="s">
        <v>51</v>
      </c>
      <c r="M163" s="40" t="s">
        <v>51</v>
      </c>
      <c r="N163" s="48" t="s">
        <v>619</v>
      </c>
      <c r="O163" s="48" t="s">
        <v>514</v>
      </c>
      <c r="P163" s="42" t="s">
        <v>56</v>
      </c>
      <c r="Q163" s="43" t="s">
        <v>649</v>
      </c>
      <c r="R163" s="44" t="s">
        <v>53</v>
      </c>
      <c r="S163" s="43"/>
      <c r="T163" s="45">
        <v>1</v>
      </c>
      <c r="U163" s="46">
        <v>1</v>
      </c>
      <c r="V163" s="37">
        <f t="shared" si="20"/>
        <v>1</v>
      </c>
      <c r="W163" s="38" t="str">
        <f t="shared" si="21"/>
        <v/>
      </c>
      <c r="X163" s="39" t="str">
        <f t="shared" si="22"/>
        <v/>
      </c>
      <c r="Y163" s="40" t="str">
        <f t="shared" si="23"/>
        <v/>
      </c>
    </row>
    <row r="164" spans="1:25" s="8" customFormat="1" ht="249" thickBot="1">
      <c r="A164" s="17"/>
      <c r="B164" s="47">
        <v>148</v>
      </c>
      <c r="C164" s="54" t="s">
        <v>48</v>
      </c>
      <c r="D164" s="48" t="s">
        <v>515</v>
      </c>
      <c r="E164" s="34" t="s">
        <v>75</v>
      </c>
      <c r="F164" s="48" t="s">
        <v>49</v>
      </c>
      <c r="G164" s="33" t="s">
        <v>50</v>
      </c>
      <c r="H164" s="35">
        <v>1</v>
      </c>
      <c r="I164" s="36">
        <v>1</v>
      </c>
      <c r="J164" s="37">
        <v>1</v>
      </c>
      <c r="K164" s="38" t="s">
        <v>51</v>
      </c>
      <c r="L164" s="39" t="s">
        <v>51</v>
      </c>
      <c r="M164" s="40" t="s">
        <v>51</v>
      </c>
      <c r="N164" s="48" t="s">
        <v>620</v>
      </c>
      <c r="O164" s="48" t="s">
        <v>516</v>
      </c>
      <c r="P164" s="42" t="s">
        <v>96</v>
      </c>
      <c r="Q164" s="43" t="s">
        <v>649</v>
      </c>
      <c r="R164" s="44" t="s">
        <v>53</v>
      </c>
      <c r="S164" s="43"/>
      <c r="T164" s="45">
        <v>1</v>
      </c>
      <c r="U164" s="46">
        <v>1</v>
      </c>
      <c r="V164" s="37">
        <f t="shared" si="24" ref="V164:V166">IF(U164*T164&lt;=4,U164*T164,"")</f>
        <v>1</v>
      </c>
      <c r="W164" s="38" t="str">
        <f t="shared" si="25" ref="W164:W168">IF(AND(U164*T164&gt;=5,U164*T164&lt;10),U164*T164,"")</f>
        <v/>
      </c>
      <c r="X164" s="39" t="str">
        <f t="shared" si="26" ref="X164:X168">IF(AND(U164*T164&gt;=10,U164*T164&lt;=15),U164*T164,"")</f>
        <v/>
      </c>
      <c r="Y164" s="40" t="str">
        <f t="shared" si="27" ref="Y164:Y168">IF(U164*T164&gt;=16,U164*T164,"")</f>
        <v/>
      </c>
    </row>
    <row r="165" spans="1:25" s="8" customFormat="1" ht="188.25" customHeight="1" thickBot="1">
      <c r="A165" s="17"/>
      <c r="B165" s="31">
        <v>149</v>
      </c>
      <c r="C165" s="54" t="s">
        <v>48</v>
      </c>
      <c r="D165" s="48" t="s">
        <v>517</v>
      </c>
      <c r="E165" s="34" t="s">
        <v>518</v>
      </c>
      <c r="F165" s="48" t="s">
        <v>49</v>
      </c>
      <c r="G165" s="33" t="s">
        <v>50</v>
      </c>
      <c r="H165" s="35">
        <v>1</v>
      </c>
      <c r="I165" s="36">
        <v>1</v>
      </c>
      <c r="J165" s="37">
        <v>1</v>
      </c>
      <c r="K165" s="38"/>
      <c r="L165" s="39"/>
      <c r="M165" s="40"/>
      <c r="N165" s="58" t="s">
        <v>621</v>
      </c>
      <c r="O165" s="58" t="s">
        <v>519</v>
      </c>
      <c r="P165" s="59" t="s">
        <v>520</v>
      </c>
      <c r="Q165" s="43" t="s">
        <v>649</v>
      </c>
      <c r="R165" s="60" t="s">
        <v>53</v>
      </c>
      <c r="S165" s="44"/>
      <c r="T165" s="45">
        <v>1</v>
      </c>
      <c r="U165" s="46">
        <v>1</v>
      </c>
      <c r="V165" s="37">
        <f t="shared" si="24"/>
        <v>1</v>
      </c>
      <c r="W165" s="38" t="str">
        <f t="shared" si="25"/>
        <v/>
      </c>
      <c r="X165" s="39" t="str">
        <f t="shared" si="26"/>
        <v/>
      </c>
      <c r="Y165" s="40" t="str">
        <f t="shared" si="27"/>
        <v/>
      </c>
    </row>
    <row r="166" spans="1:25" s="8" customFormat="1" ht="101.25" customHeight="1" thickBot="1">
      <c r="A166" s="17"/>
      <c r="B166" s="47">
        <v>150</v>
      </c>
      <c r="C166" s="54" t="s">
        <v>678</v>
      </c>
      <c r="D166" s="48" t="s">
        <v>679</v>
      </c>
      <c r="E166" s="34" t="s">
        <v>680</v>
      </c>
      <c r="F166" s="48" t="s">
        <v>49</v>
      </c>
      <c r="G166" s="33" t="s">
        <v>50</v>
      </c>
      <c r="H166" s="35">
        <v>1</v>
      </c>
      <c r="I166" s="36">
        <v>2</v>
      </c>
      <c r="J166" s="37">
        <v>2</v>
      </c>
      <c r="K166" s="38"/>
      <c r="L166" s="39"/>
      <c r="M166" s="40"/>
      <c r="N166" s="61" t="s">
        <v>681</v>
      </c>
      <c r="O166" s="61" t="s">
        <v>682</v>
      </c>
      <c r="P166" s="62" t="s">
        <v>683</v>
      </c>
      <c r="Q166" s="43" t="s">
        <v>649</v>
      </c>
      <c r="R166" s="63" t="s">
        <v>53</v>
      </c>
      <c r="S166" s="64"/>
      <c r="T166" s="45">
        <v>1</v>
      </c>
      <c r="U166" s="46">
        <v>2</v>
      </c>
      <c r="V166" s="37">
        <f t="shared" si="24"/>
        <v>2</v>
      </c>
      <c r="W166" s="38" t="str">
        <f t="shared" si="25"/>
        <v/>
      </c>
      <c r="X166" s="39" t="str">
        <f t="shared" si="26"/>
        <v/>
      </c>
      <c r="Y166" s="40" t="str">
        <f t="shared" si="27"/>
        <v/>
      </c>
    </row>
    <row r="167" spans="1:25" s="8" customFormat="1" ht="199.5" customHeight="1" thickBot="1">
      <c r="A167" s="17"/>
      <c r="B167" s="31">
        <v>151</v>
      </c>
      <c r="C167" s="54" t="s">
        <v>678</v>
      </c>
      <c r="D167" s="48" t="s">
        <v>687</v>
      </c>
      <c r="E167" s="34" t="s">
        <v>686</v>
      </c>
      <c r="F167" s="48" t="s">
        <v>684</v>
      </c>
      <c r="G167" s="33" t="s">
        <v>50</v>
      </c>
      <c r="H167" s="35">
        <v>1</v>
      </c>
      <c r="I167" s="36">
        <v>1</v>
      </c>
      <c r="J167" s="37">
        <v>1</v>
      </c>
      <c r="K167" s="38"/>
      <c r="L167" s="39"/>
      <c r="M167" s="40"/>
      <c r="N167" s="61" t="s">
        <v>688</v>
      </c>
      <c r="O167" s="61" t="s">
        <v>682</v>
      </c>
      <c r="P167" s="62" t="s">
        <v>142</v>
      </c>
      <c r="Q167" s="43" t="s">
        <v>649</v>
      </c>
      <c r="R167" s="63" t="s">
        <v>53</v>
      </c>
      <c r="S167" s="64"/>
      <c r="T167" s="45">
        <v>1</v>
      </c>
      <c r="U167" s="46">
        <v>1</v>
      </c>
      <c r="V167" s="37">
        <v>1</v>
      </c>
      <c r="W167" s="38" t="str">
        <f t="shared" si="25"/>
        <v/>
      </c>
      <c r="X167" s="39" t="str">
        <f t="shared" si="26"/>
        <v/>
      </c>
      <c r="Y167" s="40" t="str">
        <f t="shared" si="27"/>
        <v/>
      </c>
    </row>
    <row r="168" spans="1:25" s="8" customFormat="1" ht="131.25" customHeight="1" thickBot="1">
      <c r="A168" s="17"/>
      <c r="B168" s="47">
        <v>152</v>
      </c>
      <c r="C168" s="54" t="s">
        <v>678</v>
      </c>
      <c r="D168" s="48" t="s">
        <v>685</v>
      </c>
      <c r="E168" s="34" t="s">
        <v>268</v>
      </c>
      <c r="F168" s="48" t="s">
        <v>49</v>
      </c>
      <c r="G168" s="33" t="s">
        <v>50</v>
      </c>
      <c r="H168" s="35">
        <v>1</v>
      </c>
      <c r="I168" s="36">
        <v>1</v>
      </c>
      <c r="J168" s="37">
        <v>1</v>
      </c>
      <c r="K168" s="38"/>
      <c r="L168" s="39"/>
      <c r="M168" s="40"/>
      <c r="N168" s="34" t="s">
        <v>692</v>
      </c>
      <c r="O168" s="34" t="s">
        <v>269</v>
      </c>
      <c r="P168" s="62" t="s">
        <v>683</v>
      </c>
      <c r="Q168" s="43" t="s">
        <v>649</v>
      </c>
      <c r="R168" s="63" t="s">
        <v>53</v>
      </c>
      <c r="S168" s="64"/>
      <c r="T168" s="45">
        <v>1</v>
      </c>
      <c r="U168" s="46">
        <v>1</v>
      </c>
      <c r="V168" s="37">
        <v>1</v>
      </c>
      <c r="W168" s="38" t="str">
        <f t="shared" si="25"/>
        <v/>
      </c>
      <c r="X168" s="39" t="str">
        <f t="shared" si="26"/>
        <v/>
      </c>
      <c r="Y168" s="40" t="str">
        <f t="shared" si="27"/>
        <v/>
      </c>
    </row>
    <row r="169" spans="2:25" ht="27.75" customHeight="1">
      <c r="B169" s="209" t="s">
        <v>708</v>
      </c>
      <c r="C169" s="210"/>
      <c r="D169" s="211"/>
      <c r="E169" s="215" t="s">
        <v>652</v>
      </c>
      <c r="F169" s="210"/>
      <c r="G169" s="211"/>
      <c r="H169" s="198" t="s">
        <v>694</v>
      </c>
      <c r="I169" s="199"/>
      <c r="J169" s="199"/>
      <c r="K169" s="199"/>
      <c r="L169" s="199"/>
      <c r="M169" s="200"/>
      <c r="N169" s="199" t="s">
        <v>691</v>
      </c>
      <c r="O169" s="199"/>
      <c r="P169" s="200"/>
      <c r="Q169" s="198" t="s">
        <v>41</v>
      </c>
      <c r="R169" s="204"/>
      <c r="S169" s="204"/>
      <c r="T169" s="204"/>
      <c r="U169" s="205"/>
      <c r="V169" s="198" t="s">
        <v>651</v>
      </c>
      <c r="W169" s="199"/>
      <c r="X169" s="199"/>
      <c r="Y169" s="200"/>
    </row>
    <row r="170" spans="2:25" ht="77.25" customHeight="1" thickBot="1">
      <c r="B170" s="212"/>
      <c r="C170" s="213"/>
      <c r="D170" s="214"/>
      <c r="E170" s="212"/>
      <c r="F170" s="213"/>
      <c r="G170" s="214"/>
      <c r="H170" s="201"/>
      <c r="I170" s="202"/>
      <c r="J170" s="202"/>
      <c r="K170" s="202"/>
      <c r="L170" s="202"/>
      <c r="M170" s="203"/>
      <c r="N170" s="202"/>
      <c r="O170" s="202"/>
      <c r="P170" s="203"/>
      <c r="Q170" s="206"/>
      <c r="R170" s="207"/>
      <c r="S170" s="207"/>
      <c r="T170" s="207"/>
      <c r="U170" s="208"/>
      <c r="V170" s="201"/>
      <c r="W170" s="202"/>
      <c r="X170" s="202"/>
      <c r="Y170" s="203"/>
    </row>
  </sheetData>
  <autoFilter ref="B14:Y170">
    <filterColumn colId="6" showButton="0"/>
    <filterColumn colId="8" showButton="0"/>
    <filterColumn colId="9" showButton="0"/>
    <filterColumn colId="10" showButton="0"/>
    <filterColumn colId="18" showButton="0"/>
    <filterColumn colId="20" showButton="0"/>
    <filterColumn colId="21" showButton="0"/>
    <filterColumn colId="22" showButton="0"/>
  </autoFilter>
  <mergeCells count="60">
    <mergeCell ref="O10:O11"/>
    <mergeCell ref="O8:O9"/>
    <mergeCell ref="P5:Q6"/>
    <mergeCell ref="K8:M9"/>
    <mergeCell ref="N8:N9"/>
    <mergeCell ref="D5:O5"/>
    <mergeCell ref="D6:O6"/>
    <mergeCell ref="D7:O7"/>
    <mergeCell ref="E8:G9"/>
    <mergeCell ref="D10:G11"/>
    <mergeCell ref="D8:D9"/>
    <mergeCell ref="H10:I10"/>
    <mergeCell ref="H11:I11"/>
    <mergeCell ref="P7:P11"/>
    <mergeCell ref="H8:J9"/>
    <mergeCell ref="V169:Y170"/>
    <mergeCell ref="Q169:U170"/>
    <mergeCell ref="B169:D170"/>
    <mergeCell ref="E169:G170"/>
    <mergeCell ref="H169:M170"/>
    <mergeCell ref="N169:P170"/>
    <mergeCell ref="B12:C13"/>
    <mergeCell ref="B5:C11"/>
    <mergeCell ref="W6:Y11"/>
    <mergeCell ref="B14:B16"/>
    <mergeCell ref="C14:C16"/>
    <mergeCell ref="J14:M14"/>
    <mergeCell ref="Q14:Q16"/>
    <mergeCell ref="D14:D16"/>
    <mergeCell ref="E14:E16"/>
    <mergeCell ref="H14:I14"/>
    <mergeCell ref="H15:H16"/>
    <mergeCell ref="I15:I16"/>
    <mergeCell ref="G14:G16"/>
    <mergeCell ref="N14:N16"/>
    <mergeCell ref="O14:O16"/>
    <mergeCell ref="R5:V5"/>
    <mergeCell ref="T14:U14"/>
    <mergeCell ref="R14:R16"/>
    <mergeCell ref="V14:Y14"/>
    <mergeCell ref="R12:V13"/>
    <mergeCell ref="W5:Y5"/>
    <mergeCell ref="T15:T16"/>
    <mergeCell ref="U15:U16"/>
    <mergeCell ref="S14:S16"/>
    <mergeCell ref="W12:Y13"/>
    <mergeCell ref="P14:P16"/>
    <mergeCell ref="O12:Q13"/>
    <mergeCell ref="E13:G13"/>
    <mergeCell ref="E12:G12"/>
    <mergeCell ref="H12:N13"/>
    <mergeCell ref="F14:F16"/>
    <mergeCell ref="E1:S3"/>
    <mergeCell ref="B1:D3"/>
    <mergeCell ref="W1:Y1"/>
    <mergeCell ref="W2:Y2"/>
    <mergeCell ref="W3:Y3"/>
    <mergeCell ref="T1:V1"/>
    <mergeCell ref="T2:V2"/>
    <mergeCell ref="T3:V3"/>
  </mergeCells>
  <printOptions horizontalCentered="1" verticalCentered="1"/>
  <pageMargins left="0.196850393700787" right="0.196850393700787" top="0.196850393700787" bottom="0.196850393700787" header="0" footer="0"/>
  <pageSetup fitToHeight="0" horizontalDpi="300" verticalDpi="300" orientation="landscape" paperSize="9" scale="23" r:id="rId9"/>
  <drawing r:id="rId7"/>
  <legacyDrawing r:id="rId8"/>
  <mc:AlternateContent xmlns:mc="http://schemas.openxmlformats.org/markup-compatibility/2006">
    <mc:Choice Requires="x14">
      <controls>
        <mc:AlternateContent xmlns:mc="http://schemas.openxmlformats.org/markup-compatibility/2006">
          <mc:Choice Requires="x14">
            <control shapeId="1026" r:id="rId1" name="Check Box 2">
              <controlPr defaultSize="0" autoLine="0" autoPict="0">
                <anchor moveWithCells="1">
                  <from>
                    <xdr:col>9</xdr:col>
                    <xdr:colOff>121920</xdr:colOff>
                    <xdr:row>8</xdr:row>
                    <xdr:rowOff>365760</xdr:rowOff>
                  </from>
                  <to>
                    <xdr:col>9</xdr:col>
                    <xdr:colOff>670560</xdr:colOff>
                    <xdr:row>10</xdr:row>
                    <xdr:rowOff>0</xdr:rowOff>
                  </to>
                </anchor>
              </controlPr>
            </control>
          </mc:Choice>
        </mc:AlternateContent>
        <mc:AlternateContent xmlns:mc="http://schemas.openxmlformats.org/markup-compatibility/2006">
          <mc:Choice Requires="x14">
            <control shapeId="1027" r:id="rId2" name="Check Box 3">
              <controlPr defaultSize="0" autoLine="0" autoPict="0">
                <anchor moveWithCells="1">
                  <from>
                    <xdr:col>9</xdr:col>
                    <xdr:colOff>137160</xdr:colOff>
                    <xdr:row>9</xdr:row>
                    <xdr:rowOff>251460</xdr:rowOff>
                  </from>
                  <to>
                    <xdr:col>9</xdr:col>
                    <xdr:colOff>678180</xdr:colOff>
                    <xdr:row>10</xdr:row>
                    <xdr:rowOff>327660</xdr:rowOff>
                  </to>
                </anchor>
              </controlPr>
            </control>
          </mc:Choice>
        </mc:AlternateContent>
        <mc:AlternateContent xmlns:mc="http://schemas.openxmlformats.org/markup-compatibility/2006">
          <mc:Choice Requires="x14">
            <control shapeId="1028" r:id="rId3" name="Check Box 4">
              <controlPr defaultSize="0" autoLine="0" autoPict="0">
                <anchor moveWithCells="1">
                  <from>
                    <xdr:col>11</xdr:col>
                    <xdr:colOff>137160</xdr:colOff>
                    <xdr:row>8</xdr:row>
                    <xdr:rowOff>381000</xdr:rowOff>
                  </from>
                  <to>
                    <xdr:col>11</xdr:col>
                    <xdr:colOff>655320</xdr:colOff>
                    <xdr:row>10</xdr:row>
                    <xdr:rowOff>7620</xdr:rowOff>
                  </to>
                </anchor>
              </controlPr>
            </control>
          </mc:Choice>
        </mc:AlternateContent>
        <mc:AlternateContent xmlns:mc="http://schemas.openxmlformats.org/markup-compatibility/2006">
          <mc:Choice Requires="x14">
            <control shapeId="1029" r:id="rId4" name="Check Box 5">
              <controlPr defaultSize="0" autoLine="0" autoPict="0">
                <anchor moveWithCells="1">
                  <from>
                    <xdr:col>13</xdr:col>
                    <xdr:colOff>106680</xdr:colOff>
                    <xdr:row>8</xdr:row>
                    <xdr:rowOff>335280</xdr:rowOff>
                  </from>
                  <to>
                    <xdr:col>13</xdr:col>
                    <xdr:colOff>731520</xdr:colOff>
                    <xdr:row>10</xdr:row>
                    <xdr:rowOff>22860</xdr:rowOff>
                  </to>
                </anchor>
              </controlPr>
            </control>
          </mc:Choice>
        </mc:AlternateContent>
        <mc:AlternateContent xmlns:mc="http://schemas.openxmlformats.org/markup-compatibility/2006">
          <mc:Choice Requires="x14">
            <control shapeId="1030" r:id="rId5" name="Check Box 6">
              <controlPr defaultSize="0" autoLine="0" autoPict="0">
                <anchor moveWithCells="1">
                  <from>
                    <xdr:col>11</xdr:col>
                    <xdr:colOff>137160</xdr:colOff>
                    <xdr:row>10</xdr:row>
                    <xdr:rowOff>0</xdr:rowOff>
                  </from>
                  <to>
                    <xdr:col>11</xdr:col>
                    <xdr:colOff>723900</xdr:colOff>
                    <xdr:row>11</xdr:row>
                    <xdr:rowOff>0</xdr:rowOff>
                  </to>
                </anchor>
              </controlPr>
            </control>
          </mc:Choice>
        </mc:AlternateContent>
        <mc:AlternateContent xmlns:mc="http://schemas.openxmlformats.org/markup-compatibility/2006">
          <mc:Choice Requires="x14">
            <control shapeId="1031" r:id="rId6" name="Check Box 7">
              <controlPr defaultSize="0" autoLine="0" autoPict="0">
                <anchor moveWithCells="1">
                  <from>
                    <xdr:col>13</xdr:col>
                    <xdr:colOff>144780</xdr:colOff>
                    <xdr:row>10</xdr:row>
                    <xdr:rowOff>0</xdr:rowOff>
                  </from>
                  <to>
                    <xdr:col>13</xdr:col>
                    <xdr:colOff>830580</xdr:colOff>
                    <xdr:row>10</xdr:row>
                    <xdr:rowOff>342900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ScaleCrop>false</ScaleCrop>
  <HeadingPairs>
    <vt:vector size="2" baseType="variant">
      <vt:variant>
        <vt:lpstr>Worksheets</vt:lpstr>
      </vt:variant>
      <vt:variant>
        <vt:i4>1</vt:i4>
      </vt:variant>
    </vt:vector>
  </HeadingPairs>
  <TitlesOfParts>
    <vt:vector size="1" baseType="lpstr">
      <vt:lpstr>RİSK DEĞERLENDİRME</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TT</dc:creator>
  <cp:keywords/>
  <dc:description/>
  <cp:lastModifiedBy>MERVE ISYAR</cp:lastModifiedBy>
  <cp:lastPrinted>2021-07-02T06:50:05Z</cp:lastPrinted>
  <dcterms:created xsi:type="dcterms:W3CDTF">2009-06-12T18:33:43Z</dcterms:created>
  <dcterms:modified xsi:type="dcterms:W3CDTF">2022-07-27T09:41:22Z</dcterms:modified>
  <cp:category/>
</cp:coreProperties>
</file>